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lvarodiaz/qcf-repos/qcfinancial/QC_DVE_CORE/review/"/>
    </mc:Choice>
  </mc:AlternateContent>
  <xr:revisionPtr revIDLastSave="0" documentId="13_ncr:1_{62A7CE0F-4B54-9C4B-B1BC-C9CB27B2F902}" xr6:coauthVersionLast="47" xr6:coauthVersionMax="47" xr10:uidLastSave="{00000000-0000-0000-0000-000000000000}"/>
  <bookViews>
    <workbookView xWindow="0" yWindow="660" windowWidth="30240" windowHeight="18260" activeTab="2" xr2:uid="{00000000-000D-0000-FFFF-FFFF00000000}"/>
  </bookViews>
  <sheets>
    <sheet name="Curves" sheetId="1" r:id="rId1"/>
    <sheet name="FixedRate" sheetId="2" r:id="rId2"/>
    <sheet name="Ibor" sheetId="3" r:id="rId3"/>
    <sheet name="Overnight" sheetId="4" r:id="rId4"/>
    <sheet name="CompOvernight" sheetId="5" r:id="rId5"/>
    <sheet name="Simple_NDF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3" l="1"/>
  <c r="B24" i="6"/>
  <c r="B23" i="6"/>
  <c r="B52" i="6" s="1"/>
  <c r="B22" i="6"/>
  <c r="B21" i="6"/>
  <c r="B20" i="6"/>
  <c r="G18" i="6"/>
  <c r="F18" i="6"/>
  <c r="E18" i="6"/>
  <c r="D18" i="6"/>
  <c r="C18" i="6"/>
  <c r="B18" i="6"/>
  <c r="G17" i="6"/>
  <c r="F17" i="6"/>
  <c r="E17" i="6"/>
  <c r="D17" i="6"/>
  <c r="C17" i="6"/>
  <c r="B17" i="6"/>
  <c r="G16" i="6"/>
  <c r="F16" i="6"/>
  <c r="E16" i="6"/>
  <c r="D16" i="6"/>
  <c r="C16" i="6"/>
  <c r="B16" i="6"/>
  <c r="B52" i="5"/>
  <c r="B53" i="5" s="1"/>
  <c r="B24" i="5"/>
  <c r="B58" i="5" s="1"/>
  <c r="B23" i="5"/>
  <c r="B22" i="5"/>
  <c r="B21" i="5"/>
  <c r="B20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F16" i="5"/>
  <c r="E16" i="5"/>
  <c r="D16" i="5"/>
  <c r="C16" i="5"/>
  <c r="B16" i="5"/>
  <c r="B24" i="4"/>
  <c r="B23" i="4"/>
  <c r="B52" i="4" s="1"/>
  <c r="B22" i="4"/>
  <c r="B21" i="4"/>
  <c r="B20" i="4"/>
  <c r="G18" i="4"/>
  <c r="F18" i="4"/>
  <c r="E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B24" i="3"/>
  <c r="B23" i="3"/>
  <c r="B52" i="3" s="1"/>
  <c r="C53" i="3" s="1"/>
  <c r="B22" i="3"/>
  <c r="B21" i="3"/>
  <c r="B20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B58" i="2"/>
  <c r="B52" i="2"/>
  <c r="B24" i="2"/>
  <c r="B23" i="2"/>
  <c r="B22" i="2"/>
  <c r="B21" i="2"/>
  <c r="B20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C53" i="4" l="1"/>
  <c r="B53" i="4"/>
  <c r="C53" i="6"/>
  <c r="B53" i="6"/>
  <c r="B54" i="6" s="1"/>
  <c r="B55" i="6" s="1"/>
  <c r="B56" i="6" s="1"/>
  <c r="B57" i="6" s="1"/>
  <c r="B27" i="4"/>
  <c r="B54" i="4"/>
  <c r="B55" i="4" s="1"/>
  <c r="B56" i="4" s="1"/>
  <c r="B57" i="4" s="1"/>
  <c r="C53" i="5"/>
  <c r="B54" i="5" s="1"/>
  <c r="B55" i="5" s="1"/>
  <c r="B56" i="5" s="1"/>
  <c r="B57" i="5" s="1"/>
  <c r="B59" i="5" s="1"/>
  <c r="B64" i="5" s="1"/>
  <c r="B27" i="2"/>
  <c r="B27" i="5"/>
  <c r="B27" i="6"/>
  <c r="B58" i="3"/>
  <c r="B58" i="4"/>
  <c r="B53" i="2"/>
  <c r="B58" i="6"/>
  <c r="C53" i="2"/>
  <c r="B53" i="3"/>
  <c r="B54" i="3" s="1"/>
  <c r="B55" i="3" s="1"/>
  <c r="B56" i="3" s="1"/>
  <c r="B57" i="3" s="1"/>
  <c r="B27" i="3"/>
  <c r="B54" i="2" l="1"/>
  <c r="B55" i="2" s="1"/>
  <c r="B56" i="2" s="1"/>
  <c r="B57" i="2" s="1"/>
  <c r="B59" i="2" s="1"/>
  <c r="B64" i="2" s="1"/>
  <c r="B59" i="6"/>
  <c r="B64" i="6" s="1"/>
  <c r="B59" i="4"/>
  <c r="B64" i="4" s="1"/>
  <c r="B59" i="3"/>
  <c r="B64" i="3" s="1"/>
  <c r="B28" i="2"/>
  <c r="C28" i="2"/>
  <c r="B29" i="2" s="1"/>
  <c r="C28" i="6"/>
  <c r="B28" i="6"/>
  <c r="C28" i="3"/>
  <c r="B28" i="3"/>
  <c r="B29" i="3" s="1"/>
  <c r="C28" i="4"/>
  <c r="B28" i="4"/>
  <c r="C28" i="5"/>
  <c r="B28" i="5"/>
  <c r="B31" i="3" l="1"/>
  <c r="B33" i="3" s="1"/>
  <c r="B35" i="3" s="1"/>
  <c r="B30" i="3"/>
  <c r="B32" i="3" s="1"/>
  <c r="B34" i="3" s="1"/>
  <c r="B31" i="2"/>
  <c r="B33" i="2" s="1"/>
  <c r="B35" i="2" s="1"/>
  <c r="B30" i="2"/>
  <c r="B32" i="2" s="1"/>
  <c r="B34" i="2" s="1"/>
  <c r="D43" i="5"/>
  <c r="C43" i="5"/>
  <c r="B43" i="5"/>
  <c r="G43" i="5"/>
  <c r="F43" i="5"/>
  <c r="E43" i="5"/>
  <c r="B29" i="5"/>
  <c r="E43" i="2"/>
  <c r="F43" i="2"/>
  <c r="D43" i="2"/>
  <c r="G43" i="2"/>
  <c r="B43" i="2"/>
  <c r="C43" i="2"/>
  <c r="E43" i="4"/>
  <c r="D43" i="4"/>
  <c r="B43" i="4"/>
  <c r="C43" i="4"/>
  <c r="B43" i="6"/>
  <c r="C43" i="6"/>
  <c r="E43" i="6"/>
  <c r="D43" i="6"/>
  <c r="E43" i="3"/>
  <c r="C43" i="3"/>
  <c r="F43" i="3"/>
  <c r="D43" i="3"/>
  <c r="B43" i="3"/>
  <c r="G43" i="3"/>
  <c r="B29" i="4"/>
  <c r="B29" i="6"/>
  <c r="E44" i="3" l="1"/>
  <c r="E46" i="3" s="1"/>
  <c r="E45" i="3"/>
  <c r="B31" i="6"/>
  <c r="B33" i="6" s="1"/>
  <c r="B35" i="6" s="1"/>
  <c r="B30" i="6"/>
  <c r="B32" i="6" s="1"/>
  <c r="B34" i="6" s="1"/>
  <c r="C45" i="2"/>
  <c r="C44" i="2"/>
  <c r="C46" i="2" s="1"/>
  <c r="B31" i="4"/>
  <c r="B33" i="4" s="1"/>
  <c r="B35" i="4" s="1"/>
  <c r="B30" i="4"/>
  <c r="B32" i="4" s="1"/>
  <c r="B34" i="4" s="1"/>
  <c r="G43" i="6"/>
  <c r="B44" i="3"/>
  <c r="B46" i="3" s="1"/>
  <c r="B45" i="3"/>
  <c r="D44" i="2"/>
  <c r="D46" i="2" s="1"/>
  <c r="D45" i="2"/>
  <c r="D47" i="2" s="1"/>
  <c r="B39" i="2"/>
  <c r="B40" i="2" s="1"/>
  <c r="C47" i="2"/>
  <c r="B36" i="2"/>
  <c r="B37" i="2" s="1"/>
  <c r="D45" i="3"/>
  <c r="D47" i="3" s="1"/>
  <c r="D44" i="3"/>
  <c r="D46" i="3" s="1"/>
  <c r="F45" i="2"/>
  <c r="F47" i="2" s="1"/>
  <c r="F44" i="2"/>
  <c r="F46" i="2" s="1"/>
  <c r="F43" i="6"/>
  <c r="B45" i="2"/>
  <c r="B47" i="2" s="1"/>
  <c r="B44" i="2"/>
  <c r="B46" i="2" s="1"/>
  <c r="G44" i="3"/>
  <c r="G46" i="3" s="1"/>
  <c r="G45" i="3"/>
  <c r="G47" i="3" s="1"/>
  <c r="B44" i="6"/>
  <c r="B46" i="6" s="1"/>
  <c r="G45" i="2"/>
  <c r="G47" i="2" s="1"/>
  <c r="G44" i="2"/>
  <c r="G46" i="2" s="1"/>
  <c r="D44" i="5"/>
  <c r="F45" i="3"/>
  <c r="F44" i="3"/>
  <c r="F46" i="3" s="1"/>
  <c r="F43" i="4"/>
  <c r="E44" i="2"/>
  <c r="E46" i="2" s="1"/>
  <c r="E45" i="2"/>
  <c r="E47" i="2" s="1"/>
  <c r="B39" i="3"/>
  <c r="B40" i="3" s="1"/>
  <c r="B47" i="3"/>
  <c r="E47" i="3"/>
  <c r="B36" i="3"/>
  <c r="B37" i="3" s="1"/>
  <c r="F47" i="3"/>
  <c r="C44" i="3"/>
  <c r="C46" i="3" s="1"/>
  <c r="C45" i="3"/>
  <c r="C47" i="3" s="1"/>
  <c r="G43" i="4"/>
  <c r="B31" i="5"/>
  <c r="B33" i="5" s="1"/>
  <c r="B35" i="5" s="1"/>
  <c r="B30" i="5"/>
  <c r="B32" i="5" s="1"/>
  <c r="B34" i="5" s="1"/>
  <c r="C44" i="6" l="1"/>
  <c r="F44" i="5"/>
  <c r="F46" i="5" s="1"/>
  <c r="B45" i="4"/>
  <c r="E45" i="4"/>
  <c r="E47" i="4" s="1"/>
  <c r="B45" i="6"/>
  <c r="E49" i="3"/>
  <c r="D45" i="5"/>
  <c r="D47" i="5" s="1"/>
  <c r="D46" i="5"/>
  <c r="D45" i="4"/>
  <c r="D47" i="4" s="1"/>
  <c r="D44" i="4"/>
  <c r="D46" i="4" s="1"/>
  <c r="B44" i="5"/>
  <c r="B46" i="5" s="1"/>
  <c r="C45" i="4"/>
  <c r="C47" i="4" s="1"/>
  <c r="B39" i="6"/>
  <c r="B40" i="6" s="1"/>
  <c r="B47" i="6"/>
  <c r="B36" i="6"/>
  <c r="B37" i="6" s="1"/>
  <c r="E45" i="5"/>
  <c r="E47" i="5" s="1"/>
  <c r="B39" i="5"/>
  <c r="B40" i="5" s="1"/>
  <c r="B36" i="5"/>
  <c r="B37" i="5" s="1"/>
  <c r="E44" i="5"/>
  <c r="E46" i="5" s="1"/>
  <c r="B45" i="5"/>
  <c r="B47" i="5" s="1"/>
  <c r="C44" i="4"/>
  <c r="C46" i="4" s="1"/>
  <c r="E44" i="6"/>
  <c r="E46" i="6" s="1"/>
  <c r="B44" i="4"/>
  <c r="B46" i="4" s="1"/>
  <c r="G44" i="4"/>
  <c r="G46" i="4" s="1"/>
  <c r="G45" i="4"/>
  <c r="C46" i="6"/>
  <c r="F44" i="4"/>
  <c r="F46" i="4" s="1"/>
  <c r="F45" i="4"/>
  <c r="F47" i="4" s="1"/>
  <c r="G44" i="5"/>
  <c r="G46" i="5" s="1"/>
  <c r="C45" i="5"/>
  <c r="C47" i="5" s="1"/>
  <c r="G45" i="5"/>
  <c r="G47" i="5" s="1"/>
  <c r="D44" i="6"/>
  <c r="D46" i="6" s="1"/>
  <c r="B39" i="4"/>
  <c r="B40" i="4" s="1"/>
  <c r="B36" i="4"/>
  <c r="B37" i="4" s="1"/>
  <c r="B47" i="4"/>
  <c r="G47" i="4"/>
  <c r="E44" i="4"/>
  <c r="E46" i="4" s="1"/>
  <c r="F44" i="6"/>
  <c r="F46" i="6" s="1"/>
  <c r="F45" i="6"/>
  <c r="F47" i="6" s="1"/>
  <c r="C45" i="6"/>
  <c r="C47" i="6" s="1"/>
  <c r="E45" i="6"/>
  <c r="E47" i="6" s="1"/>
  <c r="G48" i="3"/>
  <c r="G49" i="3" s="1"/>
  <c r="E48" i="3"/>
  <c r="C48" i="3"/>
  <c r="C49" i="3" s="1"/>
  <c r="B48" i="3"/>
  <c r="B49" i="3" s="1"/>
  <c r="B38" i="3"/>
  <c r="F48" i="3"/>
  <c r="F49" i="3" s="1"/>
  <c r="D48" i="3"/>
  <c r="D49" i="3" s="1"/>
  <c r="C44" i="5"/>
  <c r="C46" i="5" s="1"/>
  <c r="F45" i="5"/>
  <c r="F47" i="5" s="1"/>
  <c r="F48" i="2"/>
  <c r="F49" i="2" s="1"/>
  <c r="C48" i="2"/>
  <c r="C49" i="2" s="1"/>
  <c r="B48" i="2"/>
  <c r="B49" i="2" s="1"/>
  <c r="B38" i="2"/>
  <c r="B63" i="2" s="1"/>
  <c r="E48" i="2"/>
  <c r="E49" i="2" s="1"/>
  <c r="G48" i="2"/>
  <c r="G49" i="2" s="1"/>
  <c r="D48" i="2"/>
  <c r="D49" i="2" s="1"/>
  <c r="G44" i="6"/>
  <c r="G46" i="6" s="1"/>
  <c r="G45" i="6"/>
  <c r="G47" i="6" s="1"/>
  <c r="D45" i="6"/>
  <c r="D47" i="6" s="1"/>
  <c r="F49" i="5" l="1"/>
  <c r="C49" i="6"/>
  <c r="E48" i="5"/>
  <c r="E49" i="5" s="1"/>
  <c r="D48" i="5"/>
  <c r="D49" i="5" s="1"/>
  <c r="C48" i="5"/>
  <c r="C49" i="5" s="1"/>
  <c r="B48" i="5"/>
  <c r="B49" i="5" s="1"/>
  <c r="B38" i="5"/>
  <c r="B63" i="5" s="1"/>
  <c r="G48" i="5"/>
  <c r="G49" i="5" s="1"/>
  <c r="F48" i="5"/>
  <c r="D48" i="6"/>
  <c r="D49" i="6" s="1"/>
  <c r="C48" i="6"/>
  <c r="B48" i="6"/>
  <c r="B49" i="6" s="1"/>
  <c r="B38" i="6"/>
  <c r="B63" i="6" s="1"/>
  <c r="G48" i="6"/>
  <c r="G49" i="6" s="1"/>
  <c r="F48" i="6"/>
  <c r="F49" i="6" s="1"/>
  <c r="E48" i="6"/>
  <c r="E49" i="6" s="1"/>
  <c r="B49" i="4"/>
  <c r="F48" i="4"/>
  <c r="F49" i="4" s="1"/>
  <c r="E48" i="4"/>
  <c r="E49" i="4" s="1"/>
  <c r="D48" i="4"/>
  <c r="D49" i="4" s="1"/>
  <c r="C48" i="4"/>
  <c r="C49" i="4" s="1"/>
  <c r="B48" i="4"/>
  <c r="B38" i="4"/>
  <c r="B63" i="4" s="1"/>
  <c r="G48" i="4"/>
  <c r="G49" i="4" s="1"/>
</calcChain>
</file>

<file path=xl/sharedStrings.xml><?xml version="1.0" encoding="utf-8"?>
<sst xmlns="http://schemas.openxmlformats.org/spreadsheetml/2006/main" count="305" uniqueCount="68">
  <si>
    <t>Node index</t>
  </si>
  <si>
    <t>Node t (days)</t>
  </si>
  <si>
    <t>Notional curve rate</t>
  </si>
  <si>
    <t>Settlement/discount curve rate</t>
  </si>
  <si>
    <t>Spot FX (USDCLP)</t>
  </si>
  <si>
    <t>Nominal (USD)</t>
  </si>
  <si>
    <t>t_floating (days to end date)</t>
  </si>
  <si>
    <t>t_fixed (days to end date)</t>
  </si>
  <si>
    <t>Historical FX fixing</t>
  </si>
  <si>
    <t>Interpolation: linear on the rate between bracketing nodes (QCLinearInterpolator). wf(t) = 1 + rate(t) * t/360 (QCAct360 + QCLinearWf). DF(t) = 1/wf(t). Matches ZeroCouponCurve::getDiscountFactorAt exactly.</t>
  </si>
  <si>
    <t>FixedRateMultiCurrencyCashflow</t>
  </si>
  <si>
    <t>qcfinancial results (Python, live — see settlement_currency_review.py)</t>
  </si>
  <si>
    <t>Step</t>
  </si>
  <si>
    <t>Amount / PV (CLP)</t>
  </si>
  <si>
    <t>Notes</t>
  </si>
  <si>
    <t>Spot fixing (historical FX = 875.0)</t>
  </si>
  <si>
    <t>settlement_amount() after ForwardFXRates.set_fx_rate</t>
  </si>
  <si>
    <t>CIP forward, still floating</t>
  </si>
  <si>
    <t>PresentValueFX.pv; FX delta = 970,389.6026</t>
  </si>
  <si>
    <t>CIP forward, already fixed</t>
  </si>
  <si>
    <t>PresentValueFX.pv; all curve/spot derivatives are 0 once fixed</t>
  </si>
  <si>
    <t>Floating-case curve-vertex derivatives at node 5 (t=365d):</t>
  </si>
  <si>
    <t xml:space="preserve">  notional-curve</t>
  </si>
  <si>
    <t xml:space="preserve">  CIP-settlement-curve</t>
  </si>
  <si>
    <t xml:space="preserve">  discount-curve</t>
  </si>
  <si>
    <t>Spot</t>
  </si>
  <si>
    <t>Nominal (notional-currency amount(); zero-rate construction, see notebook)</t>
  </si>
  <si>
    <t>t_floating</t>
  </si>
  <si>
    <t>t_fixed</t>
  </si>
  <si>
    <t>CIP forward projection (still floating)</t>
  </si>
  <si>
    <t>idx (largest node &lt;= t_floating)</t>
  </si>
  <si>
    <t>x1, x2 (bracketing node t's)</t>
  </si>
  <si>
    <t>frac = (t_floating - x1) / (x2 - x1)</t>
  </si>
  <si>
    <t>Interpolated notional-curve rate at t_floating</t>
  </si>
  <si>
    <t>Interpolated settlement-curve rate at t_floating</t>
  </si>
  <si>
    <t>wf_notional = 1 + rate * t_floating/360</t>
  </si>
  <si>
    <t>wf_settlement = 1 + rate * t_floating/360</t>
  </si>
  <si>
    <t>DF_notional(t_floating) = 1/wf_notional</t>
  </si>
  <si>
    <t>DF_settlement(t_floating) = 1/wf_settlement</t>
  </si>
  <si>
    <t>Forward = Spot * DF_notional / DF_settlement</t>
  </si>
  <si>
    <t>Amount (settlement ccy, strong-side notional) = Nominal * Forward</t>
  </si>
  <si>
    <t>PV (floating) = Amount * DF_settlement  [discount curve = settlement curve here]</t>
  </si>
  <si>
    <t>dForward/dSpot = DF_notional/DF_settlement</t>
  </si>
  <si>
    <t>FX delta = Nominal * dForward/dSpot * DF_settlement</t>
  </si>
  <si>
    <t>Per-node curve-vertex derivatives (floating case)</t>
  </si>
  <si>
    <t>dRate/dNode_j (shared: same node grid for both curves)</t>
  </si>
  <si>
    <t>dDF_notional/dNode_j = -(t_floating/360) * dRate/dNode_j / wf_notional^2</t>
  </si>
  <si>
    <t>dDF_settlement/dNode_j = -(t_floating/360) * dRate/dNode_j / wf_settlement^2</t>
  </si>
  <si>
    <t>dPV/dNotionalNode_j = Nominal * Spot * dDF_notional/dNode_j / DF_settlement * DF_settlement</t>
  </si>
  <si>
    <t>dPV/dCipSettlementNode_j = Nominal * (-Spot*DF_notional/DF_settlement^2) * dDF_settlement/dNode_j * DF_settlement</t>
  </si>
  <si>
    <t>dPV/dDiscountNode_j = Amount * dDF_settlement/dNode_j  [discount curve = settlement curve]</t>
  </si>
  <si>
    <t>Cancellation check: dPV/dCip + dPV/dDiscount (≈0 expected, strong-side, same curve)</t>
  </si>
  <si>
    <t>Already-fixed case (valuation date after FX fixing date)</t>
  </si>
  <si>
    <t>idx_fixed (largest node &lt;= t_fixed)</t>
  </si>
  <si>
    <t>frac_fixed</t>
  </si>
  <si>
    <t>Interpolated settlement-curve rate at t_fixed</t>
  </si>
  <si>
    <t>wf_settlement(t_fixed)</t>
  </si>
  <si>
    <t>DF_settlement(t_fixed)</t>
  </si>
  <si>
    <t>Amount_fixed = Nominal * historical fixing</t>
  </si>
  <si>
    <t>PV (already fixed) = Amount_fixed * DF_settlement(t_fixed)</t>
  </si>
  <si>
    <t>All curve/spot derivatives (already fixed) = 0 (no FX-forward sensitivity once fixed)</t>
  </si>
  <si>
    <t>Cross-check: this formula derivation vs. the qcfinancial results above (rows 4-6)</t>
  </si>
  <si>
    <t>Match (floating)? [formula PV vs. row 5 result]</t>
  </si>
  <si>
    <t>Match (already fixed)? [formula PV vs. row 6 result]</t>
  </si>
  <si>
    <t>IborMultiCurrencyCashflow</t>
  </si>
  <si>
    <t>OvernightIndexMultiCurrencyCashflow</t>
  </si>
  <si>
    <t>CompoundedOvernightRateMultiCurrencyCashflow2</t>
  </si>
  <si>
    <t>SimpleMultiCurrencyCashflow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</si>
</sst>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164" fontId="0" fillId="0" borderId="0" xfId="0" applyNumberFormat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/>
  </sheetViews>
  <sheetFormatPr baseColWidth="10" defaultColWidth="8.83203125" defaultRowHeight="15" x14ac:dyDescent="0.2"/>
  <cols>
    <col min="1" max="1" width="34" customWidth="1"/>
    <col min="2" max="7" width="12" customWidth="1"/>
  </cols>
  <sheetData>
    <row r="1" spans="1:7" x14ac:dyDescent="0.2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2">
      <c r="A2" s="1" t="s">
        <v>1</v>
      </c>
      <c r="B2">
        <v>1</v>
      </c>
      <c r="C2">
        <v>30</v>
      </c>
      <c r="D2">
        <v>90</v>
      </c>
      <c r="E2">
        <v>180</v>
      </c>
      <c r="F2">
        <v>365</v>
      </c>
      <c r="G2">
        <v>730</v>
      </c>
    </row>
    <row r="3" spans="1:7" x14ac:dyDescent="0.2">
      <c r="A3" s="1" t="s">
        <v>2</v>
      </c>
      <c r="B3">
        <v>0.01</v>
      </c>
      <c r="C3">
        <v>1.4999999999999999E-2</v>
      </c>
      <c r="D3">
        <v>0.02</v>
      </c>
      <c r="E3">
        <v>2.5000000000000001E-2</v>
      </c>
      <c r="F3">
        <v>0.03</v>
      </c>
      <c r="G3">
        <v>3.5000000000000003E-2</v>
      </c>
    </row>
    <row r="4" spans="1:7" x14ac:dyDescent="0.2">
      <c r="A4" s="1" t="s">
        <v>3</v>
      </c>
      <c r="B4">
        <v>0.02</v>
      </c>
      <c r="C4">
        <v>2.5000000000000001E-2</v>
      </c>
      <c r="D4">
        <v>0.03</v>
      </c>
      <c r="E4">
        <v>3.5000000000000003E-2</v>
      </c>
      <c r="F4">
        <v>0.04</v>
      </c>
      <c r="G4">
        <v>4.4999999999999998E-2</v>
      </c>
    </row>
    <row r="6" spans="1:7" x14ac:dyDescent="0.2">
      <c r="A6" s="1" t="s">
        <v>4</v>
      </c>
      <c r="B6">
        <v>900</v>
      </c>
    </row>
    <row r="7" spans="1:7" x14ac:dyDescent="0.2">
      <c r="A7" s="1" t="s">
        <v>5</v>
      </c>
      <c r="B7">
        <v>1000000</v>
      </c>
    </row>
    <row r="8" spans="1:7" x14ac:dyDescent="0.2">
      <c r="A8" s="1" t="s">
        <v>6</v>
      </c>
      <c r="B8">
        <v>366</v>
      </c>
    </row>
    <row r="9" spans="1:7" x14ac:dyDescent="0.2">
      <c r="A9" s="1" t="s">
        <v>7</v>
      </c>
      <c r="B9">
        <v>183</v>
      </c>
    </row>
    <row r="10" spans="1:7" x14ac:dyDescent="0.2">
      <c r="A10" s="1" t="s">
        <v>8</v>
      </c>
      <c r="B10">
        <v>875</v>
      </c>
    </row>
    <row r="12" spans="1:7" x14ac:dyDescent="0.2">
      <c r="A1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"/>
  <sheetViews>
    <sheetView topLeftCell="A17" workbookViewId="0">
      <selection activeCell="B36" sqref="B36"/>
    </sheetView>
  </sheetViews>
  <sheetFormatPr baseColWidth="10" defaultColWidth="8.83203125" defaultRowHeight="15" x14ac:dyDescent="0.2"/>
  <cols>
    <col min="1" max="1" width="95.83203125" bestFit="1" customWidth="1"/>
    <col min="2" max="2" width="16.33203125" bestFit="1" customWidth="1"/>
    <col min="3" max="3" width="14" customWidth="1"/>
    <col min="4" max="4" width="46" customWidth="1"/>
    <col min="5" max="7" width="14" customWidth="1"/>
  </cols>
  <sheetData>
    <row r="1" spans="1:7" ht="17" x14ac:dyDescent="0.2">
      <c r="A1" s="2" t="s">
        <v>10</v>
      </c>
    </row>
    <row r="2" spans="1:7" x14ac:dyDescent="0.2">
      <c r="A2" s="3" t="s">
        <v>11</v>
      </c>
      <c r="B2" s="4"/>
      <c r="C2" s="4"/>
      <c r="D2" s="4"/>
      <c r="E2" s="4"/>
      <c r="F2" s="4"/>
    </row>
    <row r="3" spans="1:7" x14ac:dyDescent="0.2">
      <c r="B3" s="1" t="s">
        <v>12</v>
      </c>
      <c r="C3" s="1" t="s">
        <v>13</v>
      </c>
      <c r="D3" s="1" t="s">
        <v>14</v>
      </c>
    </row>
    <row r="4" spans="1:7" x14ac:dyDescent="0.2">
      <c r="A4" t="s">
        <v>15</v>
      </c>
      <c r="B4" s="5">
        <v>875000000</v>
      </c>
      <c r="D4" t="s">
        <v>16</v>
      </c>
    </row>
    <row r="5" spans="1:7" x14ac:dyDescent="0.2">
      <c r="A5" t="s">
        <v>17</v>
      </c>
      <c r="B5" s="5">
        <v>873350642.30708146</v>
      </c>
      <c r="D5" t="s">
        <v>18</v>
      </c>
    </row>
    <row r="6" spans="1:7" x14ac:dyDescent="0.2">
      <c r="A6" t="s">
        <v>19</v>
      </c>
      <c r="B6" s="5">
        <v>859669612.48262405</v>
      </c>
      <c r="D6" t="s">
        <v>20</v>
      </c>
    </row>
    <row r="8" spans="1:7" x14ac:dyDescent="0.2">
      <c r="A8" s="1" t="s">
        <v>21</v>
      </c>
    </row>
    <row r="9" spans="1:7" x14ac:dyDescent="0.2">
      <c r="A9" t="s">
        <v>22</v>
      </c>
      <c r="B9" s="5">
        <v>-859254632.74792099</v>
      </c>
    </row>
    <row r="10" spans="1:7" x14ac:dyDescent="0.2">
      <c r="A10" t="s">
        <v>23</v>
      </c>
      <c r="B10" s="5">
        <v>850860361.26193476</v>
      </c>
    </row>
    <row r="11" spans="1:7" x14ac:dyDescent="0.2">
      <c r="A11" t="s">
        <v>24</v>
      </c>
      <c r="B11" s="5">
        <v>-850860361.26193464</v>
      </c>
    </row>
    <row r="16" spans="1:7" x14ac:dyDescent="0.2">
      <c r="A16" s="1" t="s">
        <v>1</v>
      </c>
      <c r="B16">
        <f>Curves!B2</f>
        <v>1</v>
      </c>
      <c r="C16">
        <f>Curves!C2</f>
        <v>30</v>
      </c>
      <c r="D16">
        <f>Curves!D2</f>
        <v>90</v>
      </c>
      <c r="E16">
        <f>Curves!E2</f>
        <v>180</v>
      </c>
      <c r="F16">
        <f>Curves!F2</f>
        <v>365</v>
      </c>
      <c r="G16">
        <f>Curves!G2</f>
        <v>730</v>
      </c>
    </row>
    <row r="17" spans="1:7" x14ac:dyDescent="0.2">
      <c r="A17" s="1" t="s">
        <v>2</v>
      </c>
      <c r="B17">
        <f>Curves!B3</f>
        <v>0.01</v>
      </c>
      <c r="C17">
        <f>Curves!C3</f>
        <v>1.4999999999999999E-2</v>
      </c>
      <c r="D17">
        <f>Curves!D3</f>
        <v>0.02</v>
      </c>
      <c r="E17">
        <f>Curves!E3</f>
        <v>2.5000000000000001E-2</v>
      </c>
      <c r="F17">
        <f>Curves!F3</f>
        <v>0.03</v>
      </c>
      <c r="G17">
        <f>Curves!G3</f>
        <v>3.5000000000000003E-2</v>
      </c>
    </row>
    <row r="18" spans="1:7" x14ac:dyDescent="0.2">
      <c r="A18" s="1" t="s">
        <v>3</v>
      </c>
      <c r="B18">
        <f>Curves!B4</f>
        <v>0.02</v>
      </c>
      <c r="C18">
        <f>Curves!C4</f>
        <v>2.5000000000000001E-2</v>
      </c>
      <c r="D18">
        <f>Curves!D4</f>
        <v>0.03</v>
      </c>
      <c r="E18">
        <f>Curves!E4</f>
        <v>3.5000000000000003E-2</v>
      </c>
      <c r="F18">
        <f>Curves!F4</f>
        <v>0.04</v>
      </c>
      <c r="G18">
        <f>Curves!G4</f>
        <v>4.4999999999999998E-2</v>
      </c>
    </row>
    <row r="20" spans="1:7" x14ac:dyDescent="0.2">
      <c r="A20" t="s">
        <v>25</v>
      </c>
      <c r="B20">
        <f>Curves!B6</f>
        <v>900</v>
      </c>
    </row>
    <row r="21" spans="1:7" x14ac:dyDescent="0.2">
      <c r="A21" t="s">
        <v>26</v>
      </c>
      <c r="B21">
        <f>Curves!B7</f>
        <v>1000000</v>
      </c>
    </row>
    <row r="22" spans="1:7" x14ac:dyDescent="0.2">
      <c r="A22" t="s">
        <v>27</v>
      </c>
      <c r="B22">
        <f>Curves!B8</f>
        <v>366</v>
      </c>
    </row>
    <row r="23" spans="1:7" x14ac:dyDescent="0.2">
      <c r="A23" t="s">
        <v>28</v>
      </c>
      <c r="B23">
        <f>Curves!B9</f>
        <v>183</v>
      </c>
    </row>
    <row r="24" spans="1:7" x14ac:dyDescent="0.2">
      <c r="A24" t="s">
        <v>8</v>
      </c>
      <c r="B24">
        <f>Curves!B10</f>
        <v>875</v>
      </c>
    </row>
    <row r="26" spans="1:7" x14ac:dyDescent="0.2">
      <c r="A26" s="6" t="s">
        <v>29</v>
      </c>
    </row>
    <row r="27" spans="1:7" x14ac:dyDescent="0.2">
      <c r="A27" t="s">
        <v>30</v>
      </c>
      <c r="B27">
        <f>MATCH(B22,Curves!$B$2:$G$2,1)</f>
        <v>5</v>
      </c>
    </row>
    <row r="28" spans="1:7" x14ac:dyDescent="0.2">
      <c r="A28" t="s">
        <v>31</v>
      </c>
      <c r="B28">
        <f>INDEX(Curves!$B$2:$G$2,B27)</f>
        <v>365</v>
      </c>
      <c r="C28">
        <f>IF(B27=6,B28,INDEX(Curves!$B$2:$G$2,B27+1))</f>
        <v>730</v>
      </c>
    </row>
    <row r="29" spans="1:7" x14ac:dyDescent="0.2">
      <c r="A29" t="s">
        <v>32</v>
      </c>
      <c r="B29">
        <f>IF(B27=6,0,(B22-B28)/(C28-B28))</f>
        <v>2.7397260273972603E-3</v>
      </c>
    </row>
    <row r="30" spans="1:7" x14ac:dyDescent="0.2">
      <c r="A30" t="s">
        <v>33</v>
      </c>
      <c r="B30">
        <f>INDEX(Curves!$B$3:$G$3,B27)+(INDEX(Curves!$B$3:$G$3,B27+1-IF(B27=6,1,0))-INDEX(Curves!$B$3:$G$3,B27))*B29</f>
        <v>3.0013698630136986E-2</v>
      </c>
    </row>
    <row r="31" spans="1:7" x14ac:dyDescent="0.2">
      <c r="A31" t="s">
        <v>34</v>
      </c>
      <c r="B31">
        <f>INDEX(Curves!$B$4:$G$4,B27)+(INDEX(Curves!$B$4:$G$4,B27+1-IF(B27=6,1,0))-INDEX(Curves!$B$4:$G$4,B27))*B29</f>
        <v>4.0013698630136985E-2</v>
      </c>
    </row>
    <row r="32" spans="1:7" x14ac:dyDescent="0.2">
      <c r="A32" t="s">
        <v>35</v>
      </c>
      <c r="B32">
        <f>1+B30*B22/360</f>
        <v>1.0305139269406394</v>
      </c>
    </row>
    <row r="33" spans="1:7" x14ac:dyDescent="0.2">
      <c r="A33" t="s">
        <v>36</v>
      </c>
      <c r="B33">
        <f>1+B31*B22/360</f>
        <v>1.040680593607306</v>
      </c>
    </row>
    <row r="34" spans="1:7" x14ac:dyDescent="0.2">
      <c r="A34" t="s">
        <v>37</v>
      </c>
      <c r="B34">
        <f>1/B32</f>
        <v>0.97038960256342366</v>
      </c>
    </row>
    <row r="35" spans="1:7" x14ac:dyDescent="0.2">
      <c r="A35" t="s">
        <v>38</v>
      </c>
      <c r="B35">
        <f>1/B33</f>
        <v>0.96090962601090202</v>
      </c>
    </row>
    <row r="36" spans="1:7" x14ac:dyDescent="0.2">
      <c r="A36" t="s">
        <v>39</v>
      </c>
      <c r="B36">
        <f>B20*B34/B35</f>
        <v>908.87906486345548</v>
      </c>
    </row>
    <row r="37" spans="1:7" x14ac:dyDescent="0.2">
      <c r="A37" t="s">
        <v>40</v>
      </c>
      <c r="B37">
        <f>B21*B36</f>
        <v>908879064.86345553</v>
      </c>
    </row>
    <row r="38" spans="1:7" x14ac:dyDescent="0.2">
      <c r="A38" t="s">
        <v>41</v>
      </c>
      <c r="B38">
        <f>B37*B35</f>
        <v>873350642.30708146</v>
      </c>
    </row>
    <row r="39" spans="1:7" x14ac:dyDescent="0.2">
      <c r="A39" t="s">
        <v>42</v>
      </c>
      <c r="B39">
        <f>B34/B35</f>
        <v>1.0098656276260616</v>
      </c>
    </row>
    <row r="40" spans="1:7" x14ac:dyDescent="0.2">
      <c r="A40" t="s">
        <v>43</v>
      </c>
      <c r="B40">
        <f>B21*B39*B35</f>
        <v>970389.60256342369</v>
      </c>
    </row>
    <row r="42" spans="1:7" x14ac:dyDescent="0.2">
      <c r="A42" s="6" t="s">
        <v>44</v>
      </c>
    </row>
    <row r="43" spans="1:7" x14ac:dyDescent="0.2">
      <c r="A43" t="s">
        <v>45</v>
      </c>
      <c r="B43">
        <f>IF(B16=B28,1-B29,IF(B16=C28,B29,0))</f>
        <v>0</v>
      </c>
      <c r="C43">
        <f>IF(C16=B28,1-B29,IF(C16=C28,B29,0))</f>
        <v>0</v>
      </c>
      <c r="D43">
        <f>IF(D16=B28,1-B29,IF(D16=C28,B29,0))</f>
        <v>0</v>
      </c>
      <c r="E43">
        <f>IF(E16=B28,1-B29,IF(E16=C28,B29,0))</f>
        <v>0</v>
      </c>
      <c r="F43">
        <f>IF(F16=B28,1-B29,IF(F16=C28,B29,0))</f>
        <v>0.99726027397260275</v>
      </c>
      <c r="G43">
        <f>IF(G16=B28,1-B29,IF(G16=C28,B29,0))</f>
        <v>2.7397260273972603E-3</v>
      </c>
    </row>
    <row r="44" spans="1:7" x14ac:dyDescent="0.2">
      <c r="A44" t="s">
        <v>46</v>
      </c>
      <c r="B44">
        <f>-(B22/360)*B43/(B32^2)</f>
        <v>0</v>
      </c>
      <c r="C44">
        <f>-(B22/360)*C43/(B32^2)</f>
        <v>0</v>
      </c>
      <c r="D44">
        <f>-(B22/360)*D43/(B32^2)</f>
        <v>0</v>
      </c>
      <c r="E44">
        <f>-(B22/360)*E43/(B32^2)</f>
        <v>0</v>
      </c>
      <c r="F44">
        <f>-(B22/360)*F43/(B32^2)</f>
        <v>-0.95472736971991212</v>
      </c>
      <c r="G44">
        <f>-(B22/360)*G43/(B32^2)</f>
        <v>-2.622877389340418E-3</v>
      </c>
    </row>
    <row r="45" spans="1:7" x14ac:dyDescent="0.2">
      <c r="A45" t="s">
        <v>47</v>
      </c>
      <c r="B45">
        <f>-(B22/360)*B43/(B33^2)</f>
        <v>0</v>
      </c>
      <c r="C45">
        <f>-(B22/360)*C43/(B33^2)</f>
        <v>0</v>
      </c>
      <c r="D45">
        <f>-(B22/360)*D43/(B33^2)</f>
        <v>0</v>
      </c>
      <c r="E45">
        <f>-(B22/360)*E43/(B33^2)</f>
        <v>0</v>
      </c>
      <c r="F45">
        <f>-(B22/360)*F43/(B33^2)</f>
        <v>-0.93616455054970693</v>
      </c>
      <c r="G45">
        <f>-(B22/360)*G43/(B33^2)</f>
        <v>-2.5718806333783159E-3</v>
      </c>
    </row>
    <row r="46" spans="1:7" x14ac:dyDescent="0.2">
      <c r="A46" t="s">
        <v>48</v>
      </c>
      <c r="B46">
        <f>B21*B20*B44/B35*B35</f>
        <v>0</v>
      </c>
      <c r="C46">
        <f>B21*B20*C44/B35*B35</f>
        <v>0</v>
      </c>
      <c r="D46">
        <f>B21*B20*D44/B35*B35</f>
        <v>0</v>
      </c>
      <c r="E46">
        <f>B21*B20*E44/B35*B35</f>
        <v>0</v>
      </c>
      <c r="F46">
        <f>B21*B20*F44/B35*B35</f>
        <v>-859254632.74792087</v>
      </c>
      <c r="G46">
        <f>B21*B20*G44/B35*B35</f>
        <v>-2360589.650406376</v>
      </c>
    </row>
    <row r="47" spans="1:7" x14ac:dyDescent="0.2">
      <c r="A47" t="s">
        <v>49</v>
      </c>
      <c r="B47">
        <f>B21*(-B20*B34/(B35^2))*B45*B35</f>
        <v>0</v>
      </c>
      <c r="C47">
        <f>B21*(-B20*B34/(B35^2))*C45*B35</f>
        <v>0</v>
      </c>
      <c r="D47">
        <f>B21*(-B20*B34/(B35^2))*D45*B35</f>
        <v>0</v>
      </c>
      <c r="E47">
        <f>B21*(-B20*B34/(B35^2))*E45*B35</f>
        <v>0</v>
      </c>
      <c r="F47">
        <f>B21*(-B20*B34/(B35^2))*F45*B35</f>
        <v>850860361.26193476</v>
      </c>
      <c r="G47">
        <f>B21*(-B20*B34/(B35^2))*G45*B35</f>
        <v>2337528.4650053154</v>
      </c>
    </row>
    <row r="48" spans="1:7" x14ac:dyDescent="0.2">
      <c r="A48" t="s">
        <v>50</v>
      </c>
      <c r="B48">
        <f>B37*B45</f>
        <v>0</v>
      </c>
      <c r="C48">
        <f>B37*C45</f>
        <v>0</v>
      </c>
      <c r="D48">
        <f>B37*D45</f>
        <v>0</v>
      </c>
      <c r="E48">
        <f>B37*E45</f>
        <v>0</v>
      </c>
      <c r="F48">
        <f>B37*F45</f>
        <v>-850860361.26193476</v>
      </c>
      <c r="G48">
        <f>B37*G45</f>
        <v>-2337528.4650053154</v>
      </c>
    </row>
    <row r="49" spans="1:7" x14ac:dyDescent="0.2">
      <c r="A49" t="s">
        <v>51</v>
      </c>
      <c r="B49">
        <f t="shared" ref="B49:G49" si="0">B47+B48</f>
        <v>0</v>
      </c>
      <c r="C49">
        <f t="shared" si="0"/>
        <v>0</v>
      </c>
      <c r="D49">
        <f t="shared" si="0"/>
        <v>0</v>
      </c>
      <c r="E49">
        <f t="shared" si="0"/>
        <v>0</v>
      </c>
      <c r="F49">
        <f t="shared" si="0"/>
        <v>0</v>
      </c>
      <c r="G49">
        <f t="shared" si="0"/>
        <v>0</v>
      </c>
    </row>
    <row r="51" spans="1:7" x14ac:dyDescent="0.2">
      <c r="A51" s="6" t="s">
        <v>52</v>
      </c>
    </row>
    <row r="52" spans="1:7" x14ac:dyDescent="0.2">
      <c r="A52" t="s">
        <v>53</v>
      </c>
      <c r="B52">
        <f>MATCH(B23,Curves!$B$2:$G$2,1)</f>
        <v>4</v>
      </c>
    </row>
    <row r="53" spans="1:7" x14ac:dyDescent="0.2">
      <c r="A53" t="s">
        <v>31</v>
      </c>
      <c r="B53">
        <f>INDEX(Curves!$B$2:$G$2,B52)</f>
        <v>180</v>
      </c>
      <c r="C53">
        <f>INDEX(Curves!$B$2:$G$2,B52+1)</f>
        <v>365</v>
      </c>
    </row>
    <row r="54" spans="1:7" x14ac:dyDescent="0.2">
      <c r="A54" t="s">
        <v>54</v>
      </c>
      <c r="B54">
        <f>(B23-B53)/(C53-B53)</f>
        <v>1.6216216216216217E-2</v>
      </c>
    </row>
    <row r="55" spans="1:7" x14ac:dyDescent="0.2">
      <c r="A55" t="s">
        <v>55</v>
      </c>
      <c r="B55">
        <f>INDEX(Curves!$B$4:$G$4,B52)+(INDEX(Curves!$B$4:$G$4,B52+1)-INDEX(Curves!$B$4:$G$4,B52))*B54</f>
        <v>3.5081081081081086E-2</v>
      </c>
    </row>
    <row r="56" spans="1:7" x14ac:dyDescent="0.2">
      <c r="A56" t="s">
        <v>56</v>
      </c>
      <c r="B56">
        <f>1+B55*B23/360</f>
        <v>1.0178328828828829</v>
      </c>
    </row>
    <row r="57" spans="1:7" x14ac:dyDescent="0.2">
      <c r="A57" t="s">
        <v>57</v>
      </c>
      <c r="B57">
        <f>1/B56</f>
        <v>0.98247955712299895</v>
      </c>
    </row>
    <row r="58" spans="1:7" x14ac:dyDescent="0.2">
      <c r="A58" t="s">
        <v>58</v>
      </c>
      <c r="B58">
        <f>B21*B24</f>
        <v>875000000</v>
      </c>
    </row>
    <row r="59" spans="1:7" x14ac:dyDescent="0.2">
      <c r="A59" t="s">
        <v>59</v>
      </c>
      <c r="B59">
        <f>B58*B57</f>
        <v>859669612.48262405</v>
      </c>
    </row>
    <row r="60" spans="1:7" x14ac:dyDescent="0.2">
      <c r="A60" t="s">
        <v>60</v>
      </c>
    </row>
    <row r="62" spans="1:7" x14ac:dyDescent="0.2">
      <c r="A62" s="7" t="s">
        <v>61</v>
      </c>
    </row>
    <row r="63" spans="1:7" x14ac:dyDescent="0.2">
      <c r="A63" t="s">
        <v>62</v>
      </c>
      <c r="B63" t="b">
        <f>ABS(B38-B5)&lt;0.01</f>
        <v>1</v>
      </c>
    </row>
    <row r="64" spans="1:7" x14ac:dyDescent="0.2">
      <c r="A64" t="s">
        <v>63</v>
      </c>
      <c r="B64" t="b">
        <f>ABS(B59-B6)&lt;0.01</f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4"/>
  <sheetViews>
    <sheetView tabSelected="1" topLeftCell="A21" workbookViewId="0">
      <selection activeCell="B64" sqref="B64"/>
    </sheetView>
  </sheetViews>
  <sheetFormatPr baseColWidth="10" defaultColWidth="8.83203125" defaultRowHeight="15" x14ac:dyDescent="0.2"/>
  <cols>
    <col min="1" max="1" width="95.83203125" bestFit="1" customWidth="1"/>
    <col min="2" max="2" width="16.33203125" bestFit="1" customWidth="1"/>
    <col min="3" max="3" width="14" customWidth="1"/>
    <col min="4" max="4" width="46" customWidth="1"/>
    <col min="5" max="7" width="14" customWidth="1"/>
  </cols>
  <sheetData>
    <row r="1" spans="1:7" ht="17" x14ac:dyDescent="0.2">
      <c r="A1" s="2" t="s">
        <v>64</v>
      </c>
    </row>
    <row r="2" spans="1:7" x14ac:dyDescent="0.2">
      <c r="A2" s="3" t="s">
        <v>11</v>
      </c>
      <c r="B2" s="4"/>
      <c r="C2" s="4"/>
      <c r="D2" s="4"/>
      <c r="E2" s="4"/>
      <c r="F2" s="4"/>
    </row>
    <row r="3" spans="1:7" x14ac:dyDescent="0.2">
      <c r="B3" s="1" t="s">
        <v>12</v>
      </c>
      <c r="C3" s="1" t="s">
        <v>13</v>
      </c>
      <c r="D3" s="1" t="s">
        <v>14</v>
      </c>
    </row>
    <row r="4" spans="1:7" x14ac:dyDescent="0.2">
      <c r="A4" t="s">
        <v>15</v>
      </c>
      <c r="B4" s="5">
        <v>1000000</v>
      </c>
      <c r="D4" t="s">
        <v>16</v>
      </c>
    </row>
    <row r="5" spans="1:7" x14ac:dyDescent="0.2">
      <c r="A5" t="s">
        <v>17</v>
      </c>
      <c r="B5" s="5">
        <v>873350642.30708146</v>
      </c>
      <c r="D5" t="s">
        <v>18</v>
      </c>
    </row>
    <row r="6" spans="1:7" x14ac:dyDescent="0.2">
      <c r="A6" t="s">
        <v>19</v>
      </c>
      <c r="B6" s="5">
        <v>859669612.48262405</v>
      </c>
      <c r="D6" t="s">
        <v>20</v>
      </c>
    </row>
    <row r="8" spans="1:7" x14ac:dyDescent="0.2">
      <c r="A8" s="1" t="s">
        <v>21</v>
      </c>
    </row>
    <row r="9" spans="1:7" x14ac:dyDescent="0.2">
      <c r="A9" t="s">
        <v>22</v>
      </c>
      <c r="B9" s="5">
        <v>-859254632.74792099</v>
      </c>
    </row>
    <row r="10" spans="1:7" x14ac:dyDescent="0.2">
      <c r="A10" t="s">
        <v>23</v>
      </c>
      <c r="B10" s="5">
        <v>850860361.26193476</v>
      </c>
    </row>
    <row r="11" spans="1:7" x14ac:dyDescent="0.2">
      <c r="A11" t="s">
        <v>24</v>
      </c>
      <c r="B11" s="5">
        <v>-850860361.26193464</v>
      </c>
    </row>
    <row r="16" spans="1:7" x14ac:dyDescent="0.2">
      <c r="A16" s="1" t="s">
        <v>1</v>
      </c>
      <c r="B16">
        <f>Curves!B2</f>
        <v>1</v>
      </c>
      <c r="C16">
        <f>Curves!C2</f>
        <v>30</v>
      </c>
      <c r="D16">
        <f>Curves!D2</f>
        <v>90</v>
      </c>
      <c r="E16">
        <f>Curves!E2</f>
        <v>180</v>
      </c>
      <c r="F16">
        <f>Curves!F2</f>
        <v>365</v>
      </c>
      <c r="G16">
        <f>Curves!G2</f>
        <v>730</v>
      </c>
    </row>
    <row r="17" spans="1:7" x14ac:dyDescent="0.2">
      <c r="A17" s="1" t="s">
        <v>2</v>
      </c>
      <c r="B17">
        <f>Curves!B3</f>
        <v>0.01</v>
      </c>
      <c r="C17">
        <f>Curves!C3</f>
        <v>1.4999999999999999E-2</v>
      </c>
      <c r="D17">
        <f>Curves!D3</f>
        <v>0.02</v>
      </c>
      <c r="E17">
        <f>Curves!E3</f>
        <v>2.5000000000000001E-2</v>
      </c>
      <c r="F17">
        <f>Curves!F3</f>
        <v>0.03</v>
      </c>
      <c r="G17">
        <f>Curves!G3</f>
        <v>3.5000000000000003E-2</v>
      </c>
    </row>
    <row r="18" spans="1:7" x14ac:dyDescent="0.2">
      <c r="A18" s="1" t="s">
        <v>3</v>
      </c>
      <c r="B18">
        <f>Curves!B4</f>
        <v>0.02</v>
      </c>
      <c r="C18">
        <f>Curves!C4</f>
        <v>2.5000000000000001E-2</v>
      </c>
      <c r="D18">
        <f>Curves!D4</f>
        <v>0.03</v>
      </c>
      <c r="E18">
        <f>Curves!E4</f>
        <v>3.5000000000000003E-2</v>
      </c>
      <c r="F18">
        <f>Curves!F4</f>
        <v>0.04</v>
      </c>
      <c r="G18">
        <f>Curves!G4</f>
        <v>4.4999999999999998E-2</v>
      </c>
    </row>
    <row r="20" spans="1:7" x14ac:dyDescent="0.2">
      <c r="A20" t="s">
        <v>25</v>
      </c>
      <c r="B20">
        <f>Curves!B6</f>
        <v>900</v>
      </c>
    </row>
    <row r="21" spans="1:7" x14ac:dyDescent="0.2">
      <c r="A21" t="s">
        <v>26</v>
      </c>
      <c r="B21">
        <f>Curves!B7</f>
        <v>1000000</v>
      </c>
    </row>
    <row r="22" spans="1:7" x14ac:dyDescent="0.2">
      <c r="A22" t="s">
        <v>27</v>
      </c>
      <c r="B22">
        <f>Curves!B8</f>
        <v>366</v>
      </c>
    </row>
    <row r="23" spans="1:7" x14ac:dyDescent="0.2">
      <c r="A23" t="s">
        <v>28</v>
      </c>
      <c r="B23">
        <f>Curves!B9</f>
        <v>183</v>
      </c>
    </row>
    <row r="24" spans="1:7" x14ac:dyDescent="0.2">
      <c r="A24" t="s">
        <v>8</v>
      </c>
      <c r="B24">
        <f>Curves!B10</f>
        <v>875</v>
      </c>
    </row>
    <row r="26" spans="1:7" x14ac:dyDescent="0.2">
      <c r="A26" s="6" t="s">
        <v>29</v>
      </c>
    </row>
    <row r="27" spans="1:7" x14ac:dyDescent="0.2">
      <c r="A27" t="s">
        <v>30</v>
      </c>
      <c r="B27">
        <f>MATCH(B22,Curves!$B$2:$G$2,1)</f>
        <v>5</v>
      </c>
    </row>
    <row r="28" spans="1:7" x14ac:dyDescent="0.2">
      <c r="A28" t="s">
        <v>31</v>
      </c>
      <c r="B28">
        <f>INDEX(Curves!$B$2:$G$2,B27)</f>
        <v>365</v>
      </c>
      <c r="C28">
        <f>IF(B27=6,B28,INDEX(Curves!$B$2:$G$2,B27+1))</f>
        <v>730</v>
      </c>
    </row>
    <row r="29" spans="1:7" x14ac:dyDescent="0.2">
      <c r="A29" t="s">
        <v>32</v>
      </c>
      <c r="B29">
        <f>IF(B27=6,0,(B22-B28)/(C28-B28))</f>
        <v>2.7397260273972603E-3</v>
      </c>
    </row>
    <row r="30" spans="1:7" x14ac:dyDescent="0.2">
      <c r="A30" t="s">
        <v>33</v>
      </c>
      <c r="B30">
        <f>INDEX(Curves!$B$3:$G$3,B27)+(INDEX(Curves!$B$3:$G$3,B27+1-IF(B27=6,1,0))-INDEX(Curves!$B$3:$G$3,B27))*B29</f>
        <v>3.0013698630136986E-2</v>
      </c>
    </row>
    <row r="31" spans="1:7" x14ac:dyDescent="0.2">
      <c r="A31" t="s">
        <v>34</v>
      </c>
      <c r="B31">
        <f>INDEX(Curves!$B$4:$G$4,B27)+(INDEX(Curves!$B$4:$G$4,B27+1-IF(B27=6,1,0))-INDEX(Curves!$B$4:$G$4,B27))*B29</f>
        <v>4.0013698630136985E-2</v>
      </c>
    </row>
    <row r="32" spans="1:7" x14ac:dyDescent="0.2">
      <c r="A32" t="s">
        <v>35</v>
      </c>
      <c r="B32">
        <f>1+B30*B22/360</f>
        <v>1.0305139269406394</v>
      </c>
    </row>
    <row r="33" spans="1:7" x14ac:dyDescent="0.2">
      <c r="A33" t="s">
        <v>36</v>
      </c>
      <c r="B33">
        <f>1+B31*B22/360</f>
        <v>1.040680593607306</v>
      </c>
    </row>
    <row r="34" spans="1:7" x14ac:dyDescent="0.2">
      <c r="A34" t="s">
        <v>37</v>
      </c>
      <c r="B34">
        <f>1/B32</f>
        <v>0.97038960256342366</v>
      </c>
    </row>
    <row r="35" spans="1:7" x14ac:dyDescent="0.2">
      <c r="A35" t="s">
        <v>38</v>
      </c>
      <c r="B35">
        <f>1/B33</f>
        <v>0.96090962601090202</v>
      </c>
    </row>
    <row r="36" spans="1:7" x14ac:dyDescent="0.2">
      <c r="A36" t="s">
        <v>39</v>
      </c>
      <c r="B36">
        <f>B20*B34/B35</f>
        <v>908.87906486345548</v>
      </c>
    </row>
    <row r="37" spans="1:7" x14ac:dyDescent="0.2">
      <c r="A37" t="s">
        <v>40</v>
      </c>
      <c r="B37">
        <f>B21*B36</f>
        <v>908879064.86345553</v>
      </c>
    </row>
    <row r="38" spans="1:7" x14ac:dyDescent="0.2">
      <c r="A38" t="s">
        <v>41</v>
      </c>
      <c r="B38">
        <f>B37*B35</f>
        <v>873350642.30708146</v>
      </c>
    </row>
    <row r="39" spans="1:7" x14ac:dyDescent="0.2">
      <c r="A39" t="s">
        <v>42</v>
      </c>
      <c r="B39">
        <f>B34/B35</f>
        <v>1.0098656276260616</v>
      </c>
    </row>
    <row r="40" spans="1:7" x14ac:dyDescent="0.2">
      <c r="A40" t="s">
        <v>43</v>
      </c>
      <c r="B40">
        <f>B21*B39*B35</f>
        <v>970389.60256342369</v>
      </c>
    </row>
    <row r="42" spans="1:7" x14ac:dyDescent="0.2">
      <c r="A42" s="6" t="s">
        <v>44</v>
      </c>
    </row>
    <row r="43" spans="1:7" x14ac:dyDescent="0.2">
      <c r="A43" t="s">
        <v>45</v>
      </c>
      <c r="B43">
        <f>IF(B16=B28,1-B29,IF(B16=C28,B29,0))</f>
        <v>0</v>
      </c>
      <c r="C43">
        <f>IF(C16=B28,1-B29,IF(C16=C28,B29,0))</f>
        <v>0</v>
      </c>
      <c r="D43">
        <f>IF(D16=B28,1-B29,IF(D16=C28,B29,0))</f>
        <v>0</v>
      </c>
      <c r="E43">
        <f>IF(E16=B28,1-B29,IF(E16=C28,B29,0))</f>
        <v>0</v>
      </c>
      <c r="F43">
        <f>IF(F16=B28,1-B29,IF(F16=C28,B29,0))</f>
        <v>0.99726027397260275</v>
      </c>
      <c r="G43">
        <f>IF(G16=B28,1-B29,IF(G16=C28,B29,0))</f>
        <v>2.7397260273972603E-3</v>
      </c>
    </row>
    <row r="44" spans="1:7" x14ac:dyDescent="0.2">
      <c r="A44" t="s">
        <v>46</v>
      </c>
      <c r="B44">
        <f>-(B22/360)*B43/(B32^2)</f>
        <v>0</v>
      </c>
      <c r="C44">
        <f>-(B22/360)*C43/(B32^2)</f>
        <v>0</v>
      </c>
      <c r="D44">
        <f>-(B22/360)*D43/(B32^2)</f>
        <v>0</v>
      </c>
      <c r="E44">
        <f>-(B22/360)*E43/(B32^2)</f>
        <v>0</v>
      </c>
      <c r="F44">
        <f>-(B22/360)*F43/(B32^2)</f>
        <v>-0.95472736971991212</v>
      </c>
      <c r="G44">
        <f>-(B22/360)*G43/(B32^2)</f>
        <v>-2.622877389340418E-3</v>
      </c>
    </row>
    <row r="45" spans="1:7" x14ac:dyDescent="0.2">
      <c r="A45" t="s">
        <v>47</v>
      </c>
      <c r="B45">
        <f>-(B22/360)*B43/(B33^2)</f>
        <v>0</v>
      </c>
      <c r="C45">
        <f>-(B22/360)*C43/(B33^2)</f>
        <v>0</v>
      </c>
      <c r="D45">
        <f>-(B22/360)*D43/(B33^2)</f>
        <v>0</v>
      </c>
      <c r="E45">
        <f>-(B22/360)*E43/(B33^2)</f>
        <v>0</v>
      </c>
      <c r="F45">
        <f>-(B22/360)*F43/(B33^2)</f>
        <v>-0.93616455054970693</v>
      </c>
      <c r="G45">
        <f>-(B22/360)*G43/(B33^2)</f>
        <v>-2.5718806333783159E-3</v>
      </c>
    </row>
    <row r="46" spans="1:7" x14ac:dyDescent="0.2">
      <c r="A46" t="s">
        <v>48</v>
      </c>
      <c r="B46">
        <f>B21*B20*B44/B35*B35</f>
        <v>0</v>
      </c>
      <c r="C46">
        <f>B21*B20*C44/B35*B35</f>
        <v>0</v>
      </c>
      <c r="D46">
        <f>B21*B20*D44/B35*B35</f>
        <v>0</v>
      </c>
      <c r="E46">
        <f>B21*B20*E44/B35*B35</f>
        <v>0</v>
      </c>
      <c r="F46">
        <f>B21*B20*F44/B35*B35</f>
        <v>-859254632.74792087</v>
      </c>
      <c r="G46">
        <f>B21*B20*G44/B35*B35</f>
        <v>-2360589.650406376</v>
      </c>
    </row>
    <row r="47" spans="1:7" x14ac:dyDescent="0.2">
      <c r="A47" t="s">
        <v>49</v>
      </c>
      <c r="B47">
        <f>B21*(-B20*B34/(B35^2))*B45*B35</f>
        <v>0</v>
      </c>
      <c r="C47">
        <f>B21*(-B20*B34/(B35^2))*C45*B35</f>
        <v>0</v>
      </c>
      <c r="D47">
        <f>B21*(-B20*B34/(B35^2))*D45*B35</f>
        <v>0</v>
      </c>
      <c r="E47">
        <f>B21*(-B20*B34/(B35^2))*E45*B35</f>
        <v>0</v>
      </c>
      <c r="F47">
        <f>B21*(-B20*B34/(B35^2))*F45*B35</f>
        <v>850860361.26193476</v>
      </c>
      <c r="G47">
        <f>B21*(-B20*B34/(B35^2))*G45*B35</f>
        <v>2337528.4650053154</v>
      </c>
    </row>
    <row r="48" spans="1:7" x14ac:dyDescent="0.2">
      <c r="A48" t="s">
        <v>50</v>
      </c>
      <c r="B48">
        <f>B37*B45</f>
        <v>0</v>
      </c>
      <c r="C48">
        <f>B37*C45</f>
        <v>0</v>
      </c>
      <c r="D48">
        <f>B37*D45</f>
        <v>0</v>
      </c>
      <c r="E48">
        <f>B37*E45</f>
        <v>0</v>
      </c>
      <c r="F48">
        <f>B37*F45</f>
        <v>-850860361.26193476</v>
      </c>
      <c r="G48">
        <f>B37*G45</f>
        <v>-2337528.4650053154</v>
      </c>
    </row>
    <row r="49" spans="1:7" x14ac:dyDescent="0.2">
      <c r="A49" t="s">
        <v>51</v>
      </c>
      <c r="B49">
        <f t="shared" ref="B49:G49" si="0">B47+B48</f>
        <v>0</v>
      </c>
      <c r="C49">
        <f t="shared" si="0"/>
        <v>0</v>
      </c>
      <c r="D49">
        <f t="shared" si="0"/>
        <v>0</v>
      </c>
      <c r="E49">
        <f t="shared" si="0"/>
        <v>0</v>
      </c>
      <c r="F49">
        <f t="shared" si="0"/>
        <v>0</v>
      </c>
      <c r="G49">
        <f t="shared" si="0"/>
        <v>0</v>
      </c>
    </row>
    <row r="51" spans="1:7" x14ac:dyDescent="0.2">
      <c r="A51" s="6" t="s">
        <v>52</v>
      </c>
    </row>
    <row r="52" spans="1:7" x14ac:dyDescent="0.2">
      <c r="A52" t="s">
        <v>53</v>
      </c>
      <c r="B52">
        <f>MATCH(B23,Curves!$B$2:$G$2,1)</f>
        <v>4</v>
      </c>
    </row>
    <row r="53" spans="1:7" x14ac:dyDescent="0.2">
      <c r="A53" t="s">
        <v>31</v>
      </c>
      <c r="B53">
        <f>INDEX(Curves!$B$2:$G$2,B52)</f>
        <v>180</v>
      </c>
      <c r="C53">
        <f>INDEX(Curves!$B$2:$G$2,B52+1)</f>
        <v>365</v>
      </c>
    </row>
    <row r="54" spans="1:7" x14ac:dyDescent="0.2">
      <c r="A54" t="s">
        <v>54</v>
      </c>
      <c r="B54">
        <f>(B23-B53)/(C53-B53)</f>
        <v>1.6216216216216217E-2</v>
      </c>
    </row>
    <row r="55" spans="1:7" x14ac:dyDescent="0.2">
      <c r="A55" t="s">
        <v>55</v>
      </c>
      <c r="B55">
        <f>INDEX(Curves!$B$4:$G$4,B52)+(INDEX(Curves!$B$4:$G$4,B52+1)-INDEX(Curves!$B$4:$G$4,B52))*B54</f>
        <v>3.5081081081081086E-2</v>
      </c>
    </row>
    <row r="56" spans="1:7" x14ac:dyDescent="0.2">
      <c r="A56" t="s">
        <v>56</v>
      </c>
      <c r="B56">
        <f>1+B55*B23/360</f>
        <v>1.0178328828828829</v>
      </c>
    </row>
    <row r="57" spans="1:7" x14ac:dyDescent="0.2">
      <c r="A57" t="s">
        <v>57</v>
      </c>
      <c r="B57">
        <f>1/B56</f>
        <v>0.98247955712299895</v>
      </c>
    </row>
    <row r="58" spans="1:7" x14ac:dyDescent="0.2">
      <c r="A58" t="s">
        <v>58</v>
      </c>
      <c r="B58">
        <f>B21*B24</f>
        <v>875000000</v>
      </c>
    </row>
    <row r="59" spans="1:7" x14ac:dyDescent="0.2">
      <c r="A59" t="s">
        <v>59</v>
      </c>
      <c r="B59">
        <f>B58*B57</f>
        <v>859669612.48262405</v>
      </c>
    </row>
    <row r="60" spans="1:7" x14ac:dyDescent="0.2">
      <c r="A60" t="s">
        <v>60</v>
      </c>
    </row>
    <row r="62" spans="1:7" x14ac:dyDescent="0.2">
      <c r="A62" s="7" t="s">
        <v>61</v>
      </c>
    </row>
    <row r="63" spans="1:7" x14ac:dyDescent="0.2">
      <c r="A63" t="s">
        <v>62</v>
      </c>
      <c r="B63" t="b">
        <f>ABS(B38-B5)&lt;0.01</f>
        <v>1</v>
      </c>
    </row>
    <row r="64" spans="1:7" x14ac:dyDescent="0.2">
      <c r="A64" t="s">
        <v>63</v>
      </c>
      <c r="B64" t="b">
        <f>ABS(B59-B6)&lt;0.01</f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4"/>
  <sheetViews>
    <sheetView workbookViewId="0"/>
  </sheetViews>
  <sheetFormatPr baseColWidth="10" defaultColWidth="8.83203125" defaultRowHeight="15" x14ac:dyDescent="0.2"/>
  <cols>
    <col min="1" max="1" width="34" customWidth="1"/>
    <col min="2" max="3" width="14" customWidth="1"/>
    <col min="4" max="4" width="46" customWidth="1"/>
    <col min="5" max="7" width="14" customWidth="1"/>
  </cols>
  <sheetData>
    <row r="1" spans="1:7" ht="17" x14ac:dyDescent="0.2">
      <c r="A1" s="2" t="s">
        <v>65</v>
      </c>
    </row>
    <row r="2" spans="1:7" x14ac:dyDescent="0.2">
      <c r="A2" s="3" t="s">
        <v>11</v>
      </c>
      <c r="B2" s="4"/>
      <c r="C2" s="4"/>
      <c r="D2" s="4"/>
      <c r="E2" s="4"/>
      <c r="F2" s="4"/>
    </row>
    <row r="3" spans="1:7" x14ac:dyDescent="0.2">
      <c r="B3" s="1" t="s">
        <v>12</v>
      </c>
      <c r="C3" s="1" t="s">
        <v>13</v>
      </c>
      <c r="D3" s="1" t="s">
        <v>14</v>
      </c>
    </row>
    <row r="4" spans="1:7" x14ac:dyDescent="0.2">
      <c r="A4" t="s">
        <v>15</v>
      </c>
      <c r="B4" s="5">
        <v>875000000</v>
      </c>
      <c r="D4" t="s">
        <v>16</v>
      </c>
    </row>
    <row r="5" spans="1:7" x14ac:dyDescent="0.2">
      <c r="A5" t="s">
        <v>17</v>
      </c>
      <c r="B5" s="5">
        <v>873350642.30708146</v>
      </c>
      <c r="D5" t="s">
        <v>18</v>
      </c>
    </row>
    <row r="6" spans="1:7" x14ac:dyDescent="0.2">
      <c r="A6" t="s">
        <v>19</v>
      </c>
      <c r="B6" s="5">
        <v>859669612.48262405</v>
      </c>
      <c r="D6" t="s">
        <v>20</v>
      </c>
    </row>
    <row r="8" spans="1:7" x14ac:dyDescent="0.2">
      <c r="A8" s="1" t="s">
        <v>21</v>
      </c>
    </row>
    <row r="9" spans="1:7" x14ac:dyDescent="0.2">
      <c r="A9" t="s">
        <v>22</v>
      </c>
      <c r="B9" s="5">
        <v>-859254632.74792099</v>
      </c>
    </row>
    <row r="10" spans="1:7" x14ac:dyDescent="0.2">
      <c r="A10" t="s">
        <v>23</v>
      </c>
      <c r="B10" s="5">
        <v>850860361.26193476</v>
      </c>
    </row>
    <row r="11" spans="1:7" x14ac:dyDescent="0.2">
      <c r="A11" t="s">
        <v>24</v>
      </c>
      <c r="B11" s="5">
        <v>-850860361.26193464</v>
      </c>
    </row>
    <row r="16" spans="1:7" x14ac:dyDescent="0.2">
      <c r="A16" s="1" t="s">
        <v>1</v>
      </c>
      <c r="B16">
        <f>Curves!B2</f>
        <v>1</v>
      </c>
      <c r="C16">
        <f>Curves!C2</f>
        <v>30</v>
      </c>
      <c r="D16">
        <f>Curves!D2</f>
        <v>90</v>
      </c>
      <c r="E16">
        <f>Curves!E2</f>
        <v>180</v>
      </c>
      <c r="F16">
        <f>Curves!F2</f>
        <v>365</v>
      </c>
      <c r="G16">
        <f>Curves!G2</f>
        <v>730</v>
      </c>
    </row>
    <row r="17" spans="1:7" x14ac:dyDescent="0.2">
      <c r="A17" s="1" t="s">
        <v>2</v>
      </c>
      <c r="B17">
        <f>Curves!B3</f>
        <v>0.01</v>
      </c>
      <c r="C17">
        <f>Curves!C3</f>
        <v>1.4999999999999999E-2</v>
      </c>
      <c r="D17">
        <f>Curves!D3</f>
        <v>0.02</v>
      </c>
      <c r="E17">
        <f>Curves!E3</f>
        <v>2.5000000000000001E-2</v>
      </c>
      <c r="F17">
        <f>Curves!F3</f>
        <v>0.03</v>
      </c>
      <c r="G17">
        <f>Curves!G3</f>
        <v>3.5000000000000003E-2</v>
      </c>
    </row>
    <row r="18" spans="1:7" x14ac:dyDescent="0.2">
      <c r="A18" s="1" t="s">
        <v>3</v>
      </c>
      <c r="B18">
        <f>Curves!B4</f>
        <v>0.02</v>
      </c>
      <c r="C18">
        <f>Curves!C4</f>
        <v>2.5000000000000001E-2</v>
      </c>
      <c r="D18">
        <f>Curves!D4</f>
        <v>0.03</v>
      </c>
      <c r="E18">
        <f>Curves!E4</f>
        <v>3.5000000000000003E-2</v>
      </c>
      <c r="F18">
        <f>Curves!F4</f>
        <v>0.04</v>
      </c>
      <c r="G18">
        <f>Curves!G4</f>
        <v>4.4999999999999998E-2</v>
      </c>
    </row>
    <row r="20" spans="1:7" x14ac:dyDescent="0.2">
      <c r="A20" t="s">
        <v>25</v>
      </c>
      <c r="B20">
        <f>Curves!B6</f>
        <v>900</v>
      </c>
    </row>
    <row r="21" spans="1:7" x14ac:dyDescent="0.2">
      <c r="A21" t="s">
        <v>26</v>
      </c>
      <c r="B21">
        <f>Curves!B7</f>
        <v>1000000</v>
      </c>
    </row>
    <row r="22" spans="1:7" x14ac:dyDescent="0.2">
      <c r="A22" t="s">
        <v>27</v>
      </c>
      <c r="B22">
        <f>Curves!B8</f>
        <v>366</v>
      </c>
    </row>
    <row r="23" spans="1:7" x14ac:dyDescent="0.2">
      <c r="A23" t="s">
        <v>28</v>
      </c>
      <c r="B23">
        <f>Curves!B9</f>
        <v>183</v>
      </c>
    </row>
    <row r="24" spans="1:7" x14ac:dyDescent="0.2">
      <c r="A24" t="s">
        <v>8</v>
      </c>
      <c r="B24">
        <f>Curves!B10</f>
        <v>875</v>
      </c>
    </row>
    <row r="26" spans="1:7" x14ac:dyDescent="0.2">
      <c r="A26" s="6" t="s">
        <v>29</v>
      </c>
    </row>
    <row r="27" spans="1:7" x14ac:dyDescent="0.2">
      <c r="A27" t="s">
        <v>30</v>
      </c>
      <c r="B27">
        <f>MATCH(B22,Curves!$B$2:$G$2,1)</f>
        <v>5</v>
      </c>
    </row>
    <row r="28" spans="1:7" x14ac:dyDescent="0.2">
      <c r="A28" t="s">
        <v>31</v>
      </c>
      <c r="B28">
        <f>INDEX(Curves!$B$2:$G$2,B27)</f>
        <v>365</v>
      </c>
      <c r="C28">
        <f>IF(B27=6,B28,INDEX(Curves!$B$2:$G$2,B27+1))</f>
        <v>730</v>
      </c>
    </row>
    <row r="29" spans="1:7" x14ac:dyDescent="0.2">
      <c r="A29" t="s">
        <v>32</v>
      </c>
      <c r="B29">
        <f>IF(B27=6,0,(B22-B28)/(C28-B28))</f>
        <v>2.7397260273972603E-3</v>
      </c>
    </row>
    <row r="30" spans="1:7" x14ac:dyDescent="0.2">
      <c r="A30" t="s">
        <v>33</v>
      </c>
      <c r="B30">
        <f>INDEX(Curves!$B$3:$G$3,B27)+(INDEX(Curves!$B$3:$G$3,B27+1-IF(B27=6,1,0))-INDEX(Curves!$B$3:$G$3,B27))*B29</f>
        <v>3.0013698630136986E-2</v>
      </c>
    </row>
    <row r="31" spans="1:7" x14ac:dyDescent="0.2">
      <c r="A31" t="s">
        <v>34</v>
      </c>
      <c r="B31">
        <f>INDEX(Curves!$B$4:$G$4,B27)+(INDEX(Curves!$B$4:$G$4,B27+1-IF(B27=6,1,0))-INDEX(Curves!$B$4:$G$4,B27))*B29</f>
        <v>4.0013698630136985E-2</v>
      </c>
    </row>
    <row r="32" spans="1:7" x14ac:dyDescent="0.2">
      <c r="A32" t="s">
        <v>35</v>
      </c>
      <c r="B32">
        <f>1+B30*B22/360</f>
        <v>1.0305139269406394</v>
      </c>
    </row>
    <row r="33" spans="1:7" x14ac:dyDescent="0.2">
      <c r="A33" t="s">
        <v>36</v>
      </c>
      <c r="B33">
        <f>1+B31*B22/360</f>
        <v>1.040680593607306</v>
      </c>
    </row>
    <row r="34" spans="1:7" x14ac:dyDescent="0.2">
      <c r="A34" t="s">
        <v>37</v>
      </c>
      <c r="B34">
        <f>1/B32</f>
        <v>0.97038960256342366</v>
      </c>
    </row>
    <row r="35" spans="1:7" x14ac:dyDescent="0.2">
      <c r="A35" t="s">
        <v>38</v>
      </c>
      <c r="B35">
        <f>1/B33</f>
        <v>0.96090962601090202</v>
      </c>
    </row>
    <row r="36" spans="1:7" x14ac:dyDescent="0.2">
      <c r="A36" t="s">
        <v>39</v>
      </c>
      <c r="B36">
        <f>B20*B34/B35</f>
        <v>908.87906486345548</v>
      </c>
    </row>
    <row r="37" spans="1:7" x14ac:dyDescent="0.2">
      <c r="A37" t="s">
        <v>40</v>
      </c>
      <c r="B37">
        <f>B21*B36</f>
        <v>908879064.86345553</v>
      </c>
    </row>
    <row r="38" spans="1:7" x14ac:dyDescent="0.2">
      <c r="A38" t="s">
        <v>41</v>
      </c>
      <c r="B38">
        <f>B37*B35</f>
        <v>873350642.30708146</v>
      </c>
    </row>
    <row r="39" spans="1:7" x14ac:dyDescent="0.2">
      <c r="A39" t="s">
        <v>42</v>
      </c>
      <c r="B39">
        <f>B34/B35</f>
        <v>1.0098656276260616</v>
      </c>
    </row>
    <row r="40" spans="1:7" x14ac:dyDescent="0.2">
      <c r="A40" t="s">
        <v>43</v>
      </c>
      <c r="B40">
        <f>B21*B39*B35</f>
        <v>970389.60256342369</v>
      </c>
    </row>
    <row r="42" spans="1:7" x14ac:dyDescent="0.2">
      <c r="A42" s="6" t="s">
        <v>44</v>
      </c>
    </row>
    <row r="43" spans="1:7" x14ac:dyDescent="0.2">
      <c r="A43" t="s">
        <v>45</v>
      </c>
      <c r="B43">
        <f>IF(B16=B28,1-B29,IF(B16=C28,B29,0))</f>
        <v>0</v>
      </c>
      <c r="C43">
        <f>IF(C16=B28,1-B29,IF(C16=C28,B29,0))</f>
        <v>0</v>
      </c>
      <c r="D43">
        <f>IF(D16=B28,1-B29,IF(D16=C28,B29,0))</f>
        <v>0</v>
      </c>
      <c r="E43">
        <f>IF(E16=B28,1-B29,IF(E16=C28,B29,0))</f>
        <v>0</v>
      </c>
      <c r="F43">
        <f>IF(F16=B28,1-B29,IF(F16=C28,B29,0))</f>
        <v>0.99726027397260275</v>
      </c>
      <c r="G43">
        <f>IF(G16=B28,1-B29,IF(G16=C28,B29,0))</f>
        <v>2.7397260273972603E-3</v>
      </c>
    </row>
    <row r="44" spans="1:7" x14ac:dyDescent="0.2">
      <c r="A44" t="s">
        <v>46</v>
      </c>
      <c r="B44">
        <f>-(B22/360)*B43/(B32^2)</f>
        <v>0</v>
      </c>
      <c r="C44">
        <f>-(B22/360)*C43/(B32^2)</f>
        <v>0</v>
      </c>
      <c r="D44">
        <f>-(B22/360)*D43/(B32^2)</f>
        <v>0</v>
      </c>
      <c r="E44">
        <f>-(B22/360)*E43/(B32^2)</f>
        <v>0</v>
      </c>
      <c r="F44">
        <f>-(B22/360)*F43/(B32^2)</f>
        <v>-0.95472736971991212</v>
      </c>
      <c r="G44">
        <f>-(B22/360)*G43/(B32^2)</f>
        <v>-2.622877389340418E-3</v>
      </c>
    </row>
    <row r="45" spans="1:7" x14ac:dyDescent="0.2">
      <c r="A45" t="s">
        <v>47</v>
      </c>
      <c r="B45">
        <f>-(B22/360)*B43/(B33^2)</f>
        <v>0</v>
      </c>
      <c r="C45">
        <f>-(B22/360)*C43/(B33^2)</f>
        <v>0</v>
      </c>
      <c r="D45">
        <f>-(B22/360)*D43/(B33^2)</f>
        <v>0</v>
      </c>
      <c r="E45">
        <f>-(B22/360)*E43/(B33^2)</f>
        <v>0</v>
      </c>
      <c r="F45">
        <f>-(B22/360)*F43/(B33^2)</f>
        <v>-0.93616455054970693</v>
      </c>
      <c r="G45">
        <f>-(B22/360)*G43/(B33^2)</f>
        <v>-2.5718806333783159E-3</v>
      </c>
    </row>
    <row r="46" spans="1:7" x14ac:dyDescent="0.2">
      <c r="A46" t="s">
        <v>48</v>
      </c>
      <c r="B46">
        <f>B21*B20*B44/B35*B35</f>
        <v>0</v>
      </c>
      <c r="C46">
        <f>B21*B20*C44/B35*B35</f>
        <v>0</v>
      </c>
      <c r="D46">
        <f>B21*B20*D44/B35*B35</f>
        <v>0</v>
      </c>
      <c r="E46">
        <f>B21*B20*E44/B35*B35</f>
        <v>0</v>
      </c>
      <c r="F46">
        <f>B21*B20*F44/B35*B35</f>
        <v>-859254632.74792087</v>
      </c>
      <c r="G46">
        <f>B21*B20*G44/B35*B35</f>
        <v>-2360589.650406376</v>
      </c>
    </row>
    <row r="47" spans="1:7" x14ac:dyDescent="0.2">
      <c r="A47" t="s">
        <v>49</v>
      </c>
      <c r="B47">
        <f>B21*(-B20*B34/(B35^2))*B45*B35</f>
        <v>0</v>
      </c>
      <c r="C47">
        <f>B21*(-B20*B34/(B35^2))*C45*B35</f>
        <v>0</v>
      </c>
      <c r="D47">
        <f>B21*(-B20*B34/(B35^2))*D45*B35</f>
        <v>0</v>
      </c>
      <c r="E47">
        <f>B21*(-B20*B34/(B35^2))*E45*B35</f>
        <v>0</v>
      </c>
      <c r="F47">
        <f>B21*(-B20*B34/(B35^2))*F45*B35</f>
        <v>850860361.26193476</v>
      </c>
      <c r="G47">
        <f>B21*(-B20*B34/(B35^2))*G45*B35</f>
        <v>2337528.4650053154</v>
      </c>
    </row>
    <row r="48" spans="1:7" x14ac:dyDescent="0.2">
      <c r="A48" t="s">
        <v>50</v>
      </c>
      <c r="B48">
        <f>B37*B45</f>
        <v>0</v>
      </c>
      <c r="C48">
        <f>B37*C45</f>
        <v>0</v>
      </c>
      <c r="D48">
        <f>B37*D45</f>
        <v>0</v>
      </c>
      <c r="E48">
        <f>B37*E45</f>
        <v>0</v>
      </c>
      <c r="F48">
        <f>B37*F45</f>
        <v>-850860361.26193476</v>
      </c>
      <c r="G48">
        <f>B37*G45</f>
        <v>-2337528.4650053154</v>
      </c>
    </row>
    <row r="49" spans="1:7" x14ac:dyDescent="0.2">
      <c r="A49" t="s">
        <v>51</v>
      </c>
      <c r="B49">
        <f t="shared" ref="B49:G49" si="0">B47+B48</f>
        <v>0</v>
      </c>
      <c r="C49">
        <f t="shared" si="0"/>
        <v>0</v>
      </c>
      <c r="D49">
        <f t="shared" si="0"/>
        <v>0</v>
      </c>
      <c r="E49">
        <f t="shared" si="0"/>
        <v>0</v>
      </c>
      <c r="F49">
        <f t="shared" si="0"/>
        <v>0</v>
      </c>
      <c r="G49">
        <f t="shared" si="0"/>
        <v>0</v>
      </c>
    </row>
    <row r="51" spans="1:7" x14ac:dyDescent="0.2">
      <c r="A51" s="6" t="s">
        <v>52</v>
      </c>
    </row>
    <row r="52" spans="1:7" x14ac:dyDescent="0.2">
      <c r="A52" t="s">
        <v>53</v>
      </c>
      <c r="B52">
        <f>MATCH(B23,Curves!$B$2:$G$2,1)</f>
        <v>4</v>
      </c>
    </row>
    <row r="53" spans="1:7" x14ac:dyDescent="0.2">
      <c r="A53" t="s">
        <v>31</v>
      </c>
      <c r="B53">
        <f>INDEX(Curves!$B$2:$G$2,B52)</f>
        <v>180</v>
      </c>
      <c r="C53">
        <f>INDEX(Curves!$B$2:$G$2,B52+1)</f>
        <v>365</v>
      </c>
    </row>
    <row r="54" spans="1:7" x14ac:dyDescent="0.2">
      <c r="A54" t="s">
        <v>54</v>
      </c>
      <c r="B54">
        <f>(B23-B53)/(C53-B53)</f>
        <v>1.6216216216216217E-2</v>
      </c>
    </row>
    <row r="55" spans="1:7" x14ac:dyDescent="0.2">
      <c r="A55" t="s">
        <v>55</v>
      </c>
      <c r="B55">
        <f>INDEX(Curves!$B$4:$G$4,B52)+(INDEX(Curves!$B$4:$G$4,B52+1)-INDEX(Curves!$B$4:$G$4,B52))*B54</f>
        <v>3.5081081081081086E-2</v>
      </c>
    </row>
    <row r="56" spans="1:7" x14ac:dyDescent="0.2">
      <c r="A56" t="s">
        <v>56</v>
      </c>
      <c r="B56">
        <f>1+B55*B23/360</f>
        <v>1.0178328828828829</v>
      </c>
    </row>
    <row r="57" spans="1:7" x14ac:dyDescent="0.2">
      <c r="A57" t="s">
        <v>57</v>
      </c>
      <c r="B57">
        <f>1/B56</f>
        <v>0.98247955712299895</v>
      </c>
    </row>
    <row r="58" spans="1:7" x14ac:dyDescent="0.2">
      <c r="A58" t="s">
        <v>58</v>
      </c>
      <c r="B58">
        <f>B21*B24</f>
        <v>875000000</v>
      </c>
    </row>
    <row r="59" spans="1:7" x14ac:dyDescent="0.2">
      <c r="A59" t="s">
        <v>59</v>
      </c>
      <c r="B59">
        <f>B58*B57</f>
        <v>859669612.48262405</v>
      </c>
    </row>
    <row r="60" spans="1:7" x14ac:dyDescent="0.2">
      <c r="A60" t="s">
        <v>60</v>
      </c>
    </row>
    <row r="62" spans="1:7" x14ac:dyDescent="0.2">
      <c r="A62" s="7" t="s">
        <v>61</v>
      </c>
    </row>
    <row r="63" spans="1:7" x14ac:dyDescent="0.2">
      <c r="A63" t="s">
        <v>62</v>
      </c>
      <c r="B63" t="b">
        <f>ABS(B38-B5)&lt;0.01</f>
        <v>1</v>
      </c>
    </row>
    <row r="64" spans="1:7" x14ac:dyDescent="0.2">
      <c r="A64" t="s">
        <v>63</v>
      </c>
      <c r="B64" t="b">
        <f>ABS(B59-B6)&lt;0.01</f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4"/>
  <sheetViews>
    <sheetView workbookViewId="0"/>
  </sheetViews>
  <sheetFormatPr baseColWidth="10" defaultColWidth="8.83203125" defaultRowHeight="15" x14ac:dyDescent="0.2"/>
  <cols>
    <col min="1" max="1" width="34" customWidth="1"/>
    <col min="2" max="3" width="14" customWidth="1"/>
    <col min="4" max="4" width="46" customWidth="1"/>
    <col min="5" max="7" width="14" customWidth="1"/>
  </cols>
  <sheetData>
    <row r="1" spans="1:7" ht="17" x14ac:dyDescent="0.2">
      <c r="A1" s="2" t="s">
        <v>66</v>
      </c>
    </row>
    <row r="2" spans="1:7" x14ac:dyDescent="0.2">
      <c r="A2" s="3" t="s">
        <v>11</v>
      </c>
      <c r="B2" s="4"/>
      <c r="C2" s="4"/>
      <c r="D2" s="4"/>
      <c r="E2" s="4"/>
      <c r="F2" s="4"/>
    </row>
    <row r="3" spans="1:7" x14ac:dyDescent="0.2">
      <c r="B3" s="1" t="s">
        <v>12</v>
      </c>
      <c r="C3" s="1" t="s">
        <v>13</v>
      </c>
      <c r="D3" s="1" t="s">
        <v>14</v>
      </c>
    </row>
    <row r="4" spans="1:7" x14ac:dyDescent="0.2">
      <c r="A4" t="s">
        <v>15</v>
      </c>
      <c r="B4" s="5">
        <v>875000000</v>
      </c>
      <c r="D4" t="s">
        <v>16</v>
      </c>
    </row>
    <row r="5" spans="1:7" x14ac:dyDescent="0.2">
      <c r="A5" t="s">
        <v>17</v>
      </c>
      <c r="B5" s="5">
        <v>873350642.30708146</v>
      </c>
      <c r="D5" t="s">
        <v>18</v>
      </c>
    </row>
    <row r="6" spans="1:7" x14ac:dyDescent="0.2">
      <c r="A6" t="s">
        <v>19</v>
      </c>
      <c r="B6" s="5">
        <v>859669612.48262405</v>
      </c>
      <c r="D6" t="s">
        <v>20</v>
      </c>
    </row>
    <row r="8" spans="1:7" x14ac:dyDescent="0.2">
      <c r="A8" s="1" t="s">
        <v>21</v>
      </c>
    </row>
    <row r="9" spans="1:7" x14ac:dyDescent="0.2">
      <c r="A9" t="s">
        <v>22</v>
      </c>
      <c r="B9" s="5">
        <v>-859254632.74792099</v>
      </c>
    </row>
    <row r="10" spans="1:7" x14ac:dyDescent="0.2">
      <c r="A10" t="s">
        <v>23</v>
      </c>
      <c r="B10" s="5">
        <v>850860361.26193476</v>
      </c>
    </row>
    <row r="11" spans="1:7" x14ac:dyDescent="0.2">
      <c r="A11" t="s">
        <v>24</v>
      </c>
      <c r="B11" s="5">
        <v>-850860361.26193464</v>
      </c>
    </row>
    <row r="16" spans="1:7" x14ac:dyDescent="0.2">
      <c r="A16" s="1" t="s">
        <v>1</v>
      </c>
      <c r="B16">
        <f>Curves!B2</f>
        <v>1</v>
      </c>
      <c r="C16">
        <f>Curves!C2</f>
        <v>30</v>
      </c>
      <c r="D16">
        <f>Curves!D2</f>
        <v>90</v>
      </c>
      <c r="E16">
        <f>Curves!E2</f>
        <v>180</v>
      </c>
      <c r="F16">
        <f>Curves!F2</f>
        <v>365</v>
      </c>
      <c r="G16">
        <f>Curves!G2</f>
        <v>730</v>
      </c>
    </row>
    <row r="17" spans="1:7" x14ac:dyDescent="0.2">
      <c r="A17" s="1" t="s">
        <v>2</v>
      </c>
      <c r="B17">
        <f>Curves!B3</f>
        <v>0.01</v>
      </c>
      <c r="C17">
        <f>Curves!C3</f>
        <v>1.4999999999999999E-2</v>
      </c>
      <c r="D17">
        <f>Curves!D3</f>
        <v>0.02</v>
      </c>
      <c r="E17">
        <f>Curves!E3</f>
        <v>2.5000000000000001E-2</v>
      </c>
      <c r="F17">
        <f>Curves!F3</f>
        <v>0.03</v>
      </c>
      <c r="G17">
        <f>Curves!G3</f>
        <v>3.5000000000000003E-2</v>
      </c>
    </row>
    <row r="18" spans="1:7" x14ac:dyDescent="0.2">
      <c r="A18" s="1" t="s">
        <v>3</v>
      </c>
      <c r="B18">
        <f>Curves!B4</f>
        <v>0.02</v>
      </c>
      <c r="C18">
        <f>Curves!C4</f>
        <v>2.5000000000000001E-2</v>
      </c>
      <c r="D18">
        <f>Curves!D4</f>
        <v>0.03</v>
      </c>
      <c r="E18">
        <f>Curves!E4</f>
        <v>3.5000000000000003E-2</v>
      </c>
      <c r="F18">
        <f>Curves!F4</f>
        <v>0.04</v>
      </c>
      <c r="G18">
        <f>Curves!G4</f>
        <v>4.4999999999999998E-2</v>
      </c>
    </row>
    <row r="20" spans="1:7" x14ac:dyDescent="0.2">
      <c r="A20" t="s">
        <v>25</v>
      </c>
      <c r="B20">
        <f>Curves!B6</f>
        <v>900</v>
      </c>
    </row>
    <row r="21" spans="1:7" x14ac:dyDescent="0.2">
      <c r="A21" t="s">
        <v>26</v>
      </c>
      <c r="B21">
        <f>Curves!B7</f>
        <v>1000000</v>
      </c>
    </row>
    <row r="22" spans="1:7" x14ac:dyDescent="0.2">
      <c r="A22" t="s">
        <v>27</v>
      </c>
      <c r="B22">
        <f>Curves!B8</f>
        <v>366</v>
      </c>
    </row>
    <row r="23" spans="1:7" x14ac:dyDescent="0.2">
      <c r="A23" t="s">
        <v>28</v>
      </c>
      <c r="B23">
        <f>Curves!B9</f>
        <v>183</v>
      </c>
    </row>
    <row r="24" spans="1:7" x14ac:dyDescent="0.2">
      <c r="A24" t="s">
        <v>8</v>
      </c>
      <c r="B24">
        <f>Curves!B10</f>
        <v>875</v>
      </c>
    </row>
    <row r="26" spans="1:7" x14ac:dyDescent="0.2">
      <c r="A26" s="6" t="s">
        <v>29</v>
      </c>
    </row>
    <row r="27" spans="1:7" x14ac:dyDescent="0.2">
      <c r="A27" t="s">
        <v>30</v>
      </c>
      <c r="B27">
        <f>MATCH(B22,Curves!$B$2:$G$2,1)</f>
        <v>5</v>
      </c>
    </row>
    <row r="28" spans="1:7" x14ac:dyDescent="0.2">
      <c r="A28" t="s">
        <v>31</v>
      </c>
      <c r="B28">
        <f>INDEX(Curves!$B$2:$G$2,B27)</f>
        <v>365</v>
      </c>
      <c r="C28">
        <f>IF(B27=6,B28,INDEX(Curves!$B$2:$G$2,B27+1))</f>
        <v>730</v>
      </c>
    </row>
    <row r="29" spans="1:7" x14ac:dyDescent="0.2">
      <c r="A29" t="s">
        <v>32</v>
      </c>
      <c r="B29">
        <f>IF(B27=6,0,(B22-B28)/(C28-B28))</f>
        <v>2.7397260273972603E-3</v>
      </c>
    </row>
    <row r="30" spans="1:7" x14ac:dyDescent="0.2">
      <c r="A30" t="s">
        <v>33</v>
      </c>
      <c r="B30">
        <f>INDEX(Curves!$B$3:$G$3,B27)+(INDEX(Curves!$B$3:$G$3,B27+1-IF(B27=6,1,0))-INDEX(Curves!$B$3:$G$3,B27))*B29</f>
        <v>3.0013698630136986E-2</v>
      </c>
    </row>
    <row r="31" spans="1:7" x14ac:dyDescent="0.2">
      <c r="A31" t="s">
        <v>34</v>
      </c>
      <c r="B31">
        <f>INDEX(Curves!$B$4:$G$4,B27)+(INDEX(Curves!$B$4:$G$4,B27+1-IF(B27=6,1,0))-INDEX(Curves!$B$4:$G$4,B27))*B29</f>
        <v>4.0013698630136985E-2</v>
      </c>
    </row>
    <row r="32" spans="1:7" x14ac:dyDescent="0.2">
      <c r="A32" t="s">
        <v>35</v>
      </c>
      <c r="B32">
        <f>1+B30*B22/360</f>
        <v>1.0305139269406394</v>
      </c>
    </row>
    <row r="33" spans="1:7" x14ac:dyDescent="0.2">
      <c r="A33" t="s">
        <v>36</v>
      </c>
      <c r="B33">
        <f>1+B31*B22/360</f>
        <v>1.040680593607306</v>
      </c>
    </row>
    <row r="34" spans="1:7" x14ac:dyDescent="0.2">
      <c r="A34" t="s">
        <v>37</v>
      </c>
      <c r="B34">
        <f>1/B32</f>
        <v>0.97038960256342366</v>
      </c>
    </row>
    <row r="35" spans="1:7" x14ac:dyDescent="0.2">
      <c r="A35" t="s">
        <v>38</v>
      </c>
      <c r="B35">
        <f>1/B33</f>
        <v>0.96090962601090202</v>
      </c>
    </row>
    <row r="36" spans="1:7" x14ac:dyDescent="0.2">
      <c r="A36" t="s">
        <v>39</v>
      </c>
      <c r="B36">
        <f>B20*B34/B35</f>
        <v>908.87906486345548</v>
      </c>
    </row>
    <row r="37" spans="1:7" x14ac:dyDescent="0.2">
      <c r="A37" t="s">
        <v>40</v>
      </c>
      <c r="B37">
        <f>B21*B36</f>
        <v>908879064.86345553</v>
      </c>
    </row>
    <row r="38" spans="1:7" x14ac:dyDescent="0.2">
      <c r="A38" t="s">
        <v>41</v>
      </c>
      <c r="B38">
        <f>B37*B35</f>
        <v>873350642.30708146</v>
      </c>
    </row>
    <row r="39" spans="1:7" x14ac:dyDescent="0.2">
      <c r="A39" t="s">
        <v>42</v>
      </c>
      <c r="B39">
        <f>B34/B35</f>
        <v>1.0098656276260616</v>
      </c>
    </row>
    <row r="40" spans="1:7" x14ac:dyDescent="0.2">
      <c r="A40" t="s">
        <v>43</v>
      </c>
      <c r="B40">
        <f>B21*B39*B35</f>
        <v>970389.60256342369</v>
      </c>
    </row>
    <row r="42" spans="1:7" x14ac:dyDescent="0.2">
      <c r="A42" s="6" t="s">
        <v>44</v>
      </c>
    </row>
    <row r="43" spans="1:7" x14ac:dyDescent="0.2">
      <c r="A43" t="s">
        <v>45</v>
      </c>
      <c r="B43">
        <f>IF(B16=B28,1-B29,IF(B16=C28,B29,0))</f>
        <v>0</v>
      </c>
      <c r="C43">
        <f>IF(C16=B28,1-B29,IF(C16=C28,B29,0))</f>
        <v>0</v>
      </c>
      <c r="D43">
        <f>IF(D16=B28,1-B29,IF(D16=C28,B29,0))</f>
        <v>0</v>
      </c>
      <c r="E43">
        <f>IF(E16=B28,1-B29,IF(E16=C28,B29,0))</f>
        <v>0</v>
      </c>
      <c r="F43">
        <f>IF(F16=B28,1-B29,IF(F16=C28,B29,0))</f>
        <v>0.99726027397260275</v>
      </c>
      <c r="G43">
        <f>IF(G16=B28,1-B29,IF(G16=C28,B29,0))</f>
        <v>2.7397260273972603E-3</v>
      </c>
    </row>
    <row r="44" spans="1:7" x14ac:dyDescent="0.2">
      <c r="A44" t="s">
        <v>46</v>
      </c>
      <c r="B44">
        <f>-(B22/360)*B43/(B32^2)</f>
        <v>0</v>
      </c>
      <c r="C44">
        <f>-(B22/360)*C43/(B32^2)</f>
        <v>0</v>
      </c>
      <c r="D44">
        <f>-(B22/360)*D43/(B32^2)</f>
        <v>0</v>
      </c>
      <c r="E44">
        <f>-(B22/360)*E43/(B32^2)</f>
        <v>0</v>
      </c>
      <c r="F44">
        <f>-(B22/360)*F43/(B32^2)</f>
        <v>-0.95472736971991212</v>
      </c>
      <c r="G44">
        <f>-(B22/360)*G43/(B32^2)</f>
        <v>-2.622877389340418E-3</v>
      </c>
    </row>
    <row r="45" spans="1:7" x14ac:dyDescent="0.2">
      <c r="A45" t="s">
        <v>47</v>
      </c>
      <c r="B45">
        <f>-(B22/360)*B43/(B33^2)</f>
        <v>0</v>
      </c>
      <c r="C45">
        <f>-(B22/360)*C43/(B33^2)</f>
        <v>0</v>
      </c>
      <c r="D45">
        <f>-(B22/360)*D43/(B33^2)</f>
        <v>0</v>
      </c>
      <c r="E45">
        <f>-(B22/360)*E43/(B33^2)</f>
        <v>0</v>
      </c>
      <c r="F45">
        <f>-(B22/360)*F43/(B33^2)</f>
        <v>-0.93616455054970693</v>
      </c>
      <c r="G45">
        <f>-(B22/360)*G43/(B33^2)</f>
        <v>-2.5718806333783159E-3</v>
      </c>
    </row>
    <row r="46" spans="1:7" x14ac:dyDescent="0.2">
      <c r="A46" t="s">
        <v>48</v>
      </c>
      <c r="B46">
        <f>B21*B20*B44/B35*B35</f>
        <v>0</v>
      </c>
      <c r="C46">
        <f>B21*B20*C44/B35*B35</f>
        <v>0</v>
      </c>
      <c r="D46">
        <f>B21*B20*D44/B35*B35</f>
        <v>0</v>
      </c>
      <c r="E46">
        <f>B21*B20*E44/B35*B35</f>
        <v>0</v>
      </c>
      <c r="F46">
        <f>B21*B20*F44/B35*B35</f>
        <v>-859254632.74792087</v>
      </c>
      <c r="G46">
        <f>B21*B20*G44/B35*B35</f>
        <v>-2360589.650406376</v>
      </c>
    </row>
    <row r="47" spans="1:7" x14ac:dyDescent="0.2">
      <c r="A47" t="s">
        <v>49</v>
      </c>
      <c r="B47">
        <f>B21*(-B20*B34/(B35^2))*B45*B35</f>
        <v>0</v>
      </c>
      <c r="C47">
        <f>B21*(-B20*B34/(B35^2))*C45*B35</f>
        <v>0</v>
      </c>
      <c r="D47">
        <f>B21*(-B20*B34/(B35^2))*D45*B35</f>
        <v>0</v>
      </c>
      <c r="E47">
        <f>B21*(-B20*B34/(B35^2))*E45*B35</f>
        <v>0</v>
      </c>
      <c r="F47">
        <f>B21*(-B20*B34/(B35^2))*F45*B35</f>
        <v>850860361.26193476</v>
      </c>
      <c r="G47">
        <f>B21*(-B20*B34/(B35^2))*G45*B35</f>
        <v>2337528.4650053154</v>
      </c>
    </row>
    <row r="48" spans="1:7" x14ac:dyDescent="0.2">
      <c r="A48" t="s">
        <v>50</v>
      </c>
      <c r="B48">
        <f>B37*B45</f>
        <v>0</v>
      </c>
      <c r="C48">
        <f>B37*C45</f>
        <v>0</v>
      </c>
      <c r="D48">
        <f>B37*D45</f>
        <v>0</v>
      </c>
      <c r="E48">
        <f>B37*E45</f>
        <v>0</v>
      </c>
      <c r="F48">
        <f>B37*F45</f>
        <v>-850860361.26193476</v>
      </c>
      <c r="G48">
        <f>B37*G45</f>
        <v>-2337528.4650053154</v>
      </c>
    </row>
    <row r="49" spans="1:7" x14ac:dyDescent="0.2">
      <c r="A49" t="s">
        <v>51</v>
      </c>
      <c r="B49">
        <f t="shared" ref="B49:G49" si="0">B47+B48</f>
        <v>0</v>
      </c>
      <c r="C49">
        <f t="shared" si="0"/>
        <v>0</v>
      </c>
      <c r="D49">
        <f t="shared" si="0"/>
        <v>0</v>
      </c>
      <c r="E49">
        <f t="shared" si="0"/>
        <v>0</v>
      </c>
      <c r="F49">
        <f t="shared" si="0"/>
        <v>0</v>
      </c>
      <c r="G49">
        <f t="shared" si="0"/>
        <v>0</v>
      </c>
    </row>
    <row r="51" spans="1:7" x14ac:dyDescent="0.2">
      <c r="A51" s="6" t="s">
        <v>52</v>
      </c>
    </row>
    <row r="52" spans="1:7" x14ac:dyDescent="0.2">
      <c r="A52" t="s">
        <v>53</v>
      </c>
      <c r="B52">
        <f>MATCH(B23,Curves!$B$2:$G$2,1)</f>
        <v>4</v>
      </c>
    </row>
    <row r="53" spans="1:7" x14ac:dyDescent="0.2">
      <c r="A53" t="s">
        <v>31</v>
      </c>
      <c r="B53">
        <f>INDEX(Curves!$B$2:$G$2,B52)</f>
        <v>180</v>
      </c>
      <c r="C53">
        <f>INDEX(Curves!$B$2:$G$2,B52+1)</f>
        <v>365</v>
      </c>
    </row>
    <row r="54" spans="1:7" x14ac:dyDescent="0.2">
      <c r="A54" t="s">
        <v>54</v>
      </c>
      <c r="B54">
        <f>(B23-B53)/(C53-B53)</f>
        <v>1.6216216216216217E-2</v>
      </c>
    </row>
    <row r="55" spans="1:7" x14ac:dyDescent="0.2">
      <c r="A55" t="s">
        <v>55</v>
      </c>
      <c r="B55">
        <f>INDEX(Curves!$B$4:$G$4,B52)+(INDEX(Curves!$B$4:$G$4,B52+1)-INDEX(Curves!$B$4:$G$4,B52))*B54</f>
        <v>3.5081081081081086E-2</v>
      </c>
    </row>
    <row r="56" spans="1:7" x14ac:dyDescent="0.2">
      <c r="A56" t="s">
        <v>56</v>
      </c>
      <c r="B56">
        <f>1+B55*B23/360</f>
        <v>1.0178328828828829</v>
      </c>
    </row>
    <row r="57" spans="1:7" x14ac:dyDescent="0.2">
      <c r="A57" t="s">
        <v>57</v>
      </c>
      <c r="B57">
        <f>1/B56</f>
        <v>0.98247955712299895</v>
      </c>
    </row>
    <row r="58" spans="1:7" x14ac:dyDescent="0.2">
      <c r="A58" t="s">
        <v>58</v>
      </c>
      <c r="B58">
        <f>B21*B24</f>
        <v>875000000</v>
      </c>
    </row>
    <row r="59" spans="1:7" x14ac:dyDescent="0.2">
      <c r="A59" t="s">
        <v>59</v>
      </c>
      <c r="B59">
        <f>B58*B57</f>
        <v>859669612.48262405</v>
      </c>
    </row>
    <row r="60" spans="1:7" x14ac:dyDescent="0.2">
      <c r="A60" t="s">
        <v>60</v>
      </c>
    </row>
    <row r="62" spans="1:7" x14ac:dyDescent="0.2">
      <c r="A62" s="7" t="s">
        <v>61</v>
      </c>
    </row>
    <row r="63" spans="1:7" x14ac:dyDescent="0.2">
      <c r="A63" t="s">
        <v>62</v>
      </c>
      <c r="B63" t="b">
        <f>ABS(B38-B5)&lt;0.01</f>
        <v>1</v>
      </c>
    </row>
    <row r="64" spans="1:7" x14ac:dyDescent="0.2">
      <c r="A64" t="s">
        <v>63</v>
      </c>
      <c r="B64" t="b">
        <f>ABS(B59-B6)&lt;0.01</f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4"/>
  <sheetViews>
    <sheetView workbookViewId="0"/>
  </sheetViews>
  <sheetFormatPr baseColWidth="10" defaultColWidth="8.83203125" defaultRowHeight="15" x14ac:dyDescent="0.2"/>
  <cols>
    <col min="1" max="1" width="34" customWidth="1"/>
    <col min="2" max="3" width="14" customWidth="1"/>
    <col min="4" max="4" width="46" customWidth="1"/>
    <col min="5" max="7" width="14" customWidth="1"/>
  </cols>
  <sheetData>
    <row r="1" spans="1:7" ht="17" x14ac:dyDescent="0.2">
      <c r="A1" s="2" t="s">
        <v>67</v>
      </c>
    </row>
    <row r="2" spans="1:7" x14ac:dyDescent="0.2">
      <c r="A2" s="3" t="s">
        <v>11</v>
      </c>
      <c r="B2" s="4"/>
      <c r="C2" s="4"/>
      <c r="D2" s="4"/>
      <c r="E2" s="4"/>
      <c r="F2" s="4"/>
    </row>
    <row r="3" spans="1:7" x14ac:dyDescent="0.2">
      <c r="B3" s="1" t="s">
        <v>12</v>
      </c>
      <c r="C3" s="1" t="s">
        <v>13</v>
      </c>
      <c r="D3" s="1" t="s">
        <v>14</v>
      </c>
    </row>
    <row r="4" spans="1:7" x14ac:dyDescent="0.2">
      <c r="A4" t="s">
        <v>15</v>
      </c>
      <c r="B4" s="5">
        <v>875000000</v>
      </c>
      <c r="D4" t="s">
        <v>16</v>
      </c>
    </row>
    <row r="5" spans="1:7" x14ac:dyDescent="0.2">
      <c r="A5" t="s">
        <v>17</v>
      </c>
      <c r="B5" s="5">
        <v>873350642.30708146</v>
      </c>
      <c r="D5" t="s">
        <v>18</v>
      </c>
    </row>
    <row r="6" spans="1:7" x14ac:dyDescent="0.2">
      <c r="A6" t="s">
        <v>19</v>
      </c>
      <c r="B6" s="5">
        <v>859669612.48262405</v>
      </c>
      <c r="D6" t="s">
        <v>20</v>
      </c>
    </row>
    <row r="8" spans="1:7" x14ac:dyDescent="0.2">
      <c r="A8" s="1" t="s">
        <v>21</v>
      </c>
    </row>
    <row r="9" spans="1:7" x14ac:dyDescent="0.2">
      <c r="A9" t="s">
        <v>22</v>
      </c>
      <c r="B9" s="5">
        <v>-859254632.74792099</v>
      </c>
    </row>
    <row r="10" spans="1:7" x14ac:dyDescent="0.2">
      <c r="A10" t="s">
        <v>23</v>
      </c>
      <c r="B10" s="5">
        <v>850860361.26193476</v>
      </c>
    </row>
    <row r="11" spans="1:7" x14ac:dyDescent="0.2">
      <c r="A11" t="s">
        <v>24</v>
      </c>
      <c r="B11" s="5">
        <v>-850860361.26193464</v>
      </c>
    </row>
    <row r="16" spans="1:7" x14ac:dyDescent="0.2">
      <c r="A16" s="1" t="s">
        <v>1</v>
      </c>
      <c r="B16">
        <f>Curves!B2</f>
        <v>1</v>
      </c>
      <c r="C16">
        <f>Curves!C2</f>
        <v>30</v>
      </c>
      <c r="D16">
        <f>Curves!D2</f>
        <v>90</v>
      </c>
      <c r="E16">
        <f>Curves!E2</f>
        <v>180</v>
      </c>
      <c r="F16">
        <f>Curves!F2</f>
        <v>365</v>
      </c>
      <c r="G16">
        <f>Curves!G2</f>
        <v>730</v>
      </c>
    </row>
    <row r="17" spans="1:7" x14ac:dyDescent="0.2">
      <c r="A17" s="1" t="s">
        <v>2</v>
      </c>
      <c r="B17">
        <f>Curves!B3</f>
        <v>0.01</v>
      </c>
      <c r="C17">
        <f>Curves!C3</f>
        <v>1.4999999999999999E-2</v>
      </c>
      <c r="D17">
        <f>Curves!D3</f>
        <v>0.02</v>
      </c>
      <c r="E17">
        <f>Curves!E3</f>
        <v>2.5000000000000001E-2</v>
      </c>
      <c r="F17">
        <f>Curves!F3</f>
        <v>0.03</v>
      </c>
      <c r="G17">
        <f>Curves!G3</f>
        <v>3.5000000000000003E-2</v>
      </c>
    </row>
    <row r="18" spans="1:7" x14ac:dyDescent="0.2">
      <c r="A18" s="1" t="s">
        <v>3</v>
      </c>
      <c r="B18">
        <f>Curves!B4</f>
        <v>0.02</v>
      </c>
      <c r="C18">
        <f>Curves!C4</f>
        <v>2.5000000000000001E-2</v>
      </c>
      <c r="D18">
        <f>Curves!D4</f>
        <v>0.03</v>
      </c>
      <c r="E18">
        <f>Curves!E4</f>
        <v>3.5000000000000003E-2</v>
      </c>
      <c r="F18">
        <f>Curves!F4</f>
        <v>0.04</v>
      </c>
      <c r="G18">
        <f>Curves!G4</f>
        <v>4.4999999999999998E-2</v>
      </c>
    </row>
    <row r="20" spans="1:7" x14ac:dyDescent="0.2">
      <c r="A20" t="s">
        <v>25</v>
      </c>
      <c r="B20">
        <f>Curves!B6</f>
        <v>900</v>
      </c>
    </row>
    <row r="21" spans="1:7" x14ac:dyDescent="0.2">
      <c r="A21" t="s">
        <v>26</v>
      </c>
      <c r="B21">
        <f>Curves!B7</f>
        <v>1000000</v>
      </c>
    </row>
    <row r="22" spans="1:7" x14ac:dyDescent="0.2">
      <c r="A22" t="s">
        <v>27</v>
      </c>
      <c r="B22">
        <f>Curves!B8</f>
        <v>366</v>
      </c>
    </row>
    <row r="23" spans="1:7" x14ac:dyDescent="0.2">
      <c r="A23" t="s">
        <v>28</v>
      </c>
      <c r="B23">
        <f>Curves!B9</f>
        <v>183</v>
      </c>
    </row>
    <row r="24" spans="1:7" x14ac:dyDescent="0.2">
      <c r="A24" t="s">
        <v>8</v>
      </c>
      <c r="B24">
        <f>Curves!B10</f>
        <v>875</v>
      </c>
    </row>
    <row r="26" spans="1:7" x14ac:dyDescent="0.2">
      <c r="A26" s="6" t="s">
        <v>29</v>
      </c>
    </row>
    <row r="27" spans="1:7" x14ac:dyDescent="0.2">
      <c r="A27" t="s">
        <v>30</v>
      </c>
      <c r="B27">
        <f>MATCH(B22,Curves!$B$2:$G$2,1)</f>
        <v>5</v>
      </c>
    </row>
    <row r="28" spans="1:7" x14ac:dyDescent="0.2">
      <c r="A28" t="s">
        <v>31</v>
      </c>
      <c r="B28">
        <f>INDEX(Curves!$B$2:$G$2,B27)</f>
        <v>365</v>
      </c>
      <c r="C28">
        <f>IF(B27=6,B28,INDEX(Curves!$B$2:$G$2,B27+1))</f>
        <v>730</v>
      </c>
    </row>
    <row r="29" spans="1:7" x14ac:dyDescent="0.2">
      <c r="A29" t="s">
        <v>32</v>
      </c>
      <c r="B29">
        <f>IF(B27=6,0,(B22-B28)/(C28-B28))</f>
        <v>2.7397260273972603E-3</v>
      </c>
    </row>
    <row r="30" spans="1:7" x14ac:dyDescent="0.2">
      <c r="A30" t="s">
        <v>33</v>
      </c>
      <c r="B30">
        <f>INDEX(Curves!$B$3:$G$3,B27)+(INDEX(Curves!$B$3:$G$3,B27+1-IF(B27=6,1,0))-INDEX(Curves!$B$3:$G$3,B27))*B29</f>
        <v>3.0013698630136986E-2</v>
      </c>
    </row>
    <row r="31" spans="1:7" x14ac:dyDescent="0.2">
      <c r="A31" t="s">
        <v>34</v>
      </c>
      <c r="B31">
        <f>INDEX(Curves!$B$4:$G$4,B27)+(INDEX(Curves!$B$4:$G$4,B27+1-IF(B27=6,1,0))-INDEX(Curves!$B$4:$G$4,B27))*B29</f>
        <v>4.0013698630136985E-2</v>
      </c>
    </row>
    <row r="32" spans="1:7" x14ac:dyDescent="0.2">
      <c r="A32" t="s">
        <v>35</v>
      </c>
      <c r="B32">
        <f>1+B30*B22/360</f>
        <v>1.0305139269406394</v>
      </c>
    </row>
    <row r="33" spans="1:7" x14ac:dyDescent="0.2">
      <c r="A33" t="s">
        <v>36</v>
      </c>
      <c r="B33">
        <f>1+B31*B22/360</f>
        <v>1.040680593607306</v>
      </c>
    </row>
    <row r="34" spans="1:7" x14ac:dyDescent="0.2">
      <c r="A34" t="s">
        <v>37</v>
      </c>
      <c r="B34">
        <f>1/B32</f>
        <v>0.97038960256342366</v>
      </c>
    </row>
    <row r="35" spans="1:7" x14ac:dyDescent="0.2">
      <c r="A35" t="s">
        <v>38</v>
      </c>
      <c r="B35">
        <f>1/B33</f>
        <v>0.96090962601090202</v>
      </c>
    </row>
    <row r="36" spans="1:7" x14ac:dyDescent="0.2">
      <c r="A36" t="s">
        <v>39</v>
      </c>
      <c r="B36">
        <f>B20*B34/B35</f>
        <v>908.87906486345548</v>
      </c>
    </row>
    <row r="37" spans="1:7" x14ac:dyDescent="0.2">
      <c r="A37" t="s">
        <v>40</v>
      </c>
      <c r="B37">
        <f>B21*B36</f>
        <v>908879064.86345553</v>
      </c>
    </row>
    <row r="38" spans="1:7" x14ac:dyDescent="0.2">
      <c r="A38" t="s">
        <v>41</v>
      </c>
      <c r="B38">
        <f>B37*B35</f>
        <v>873350642.30708146</v>
      </c>
    </row>
    <row r="39" spans="1:7" x14ac:dyDescent="0.2">
      <c r="A39" t="s">
        <v>42</v>
      </c>
      <c r="B39">
        <f>B34/B35</f>
        <v>1.0098656276260616</v>
      </c>
    </row>
    <row r="40" spans="1:7" x14ac:dyDescent="0.2">
      <c r="A40" t="s">
        <v>43</v>
      </c>
      <c r="B40">
        <f>B21*B39*B35</f>
        <v>970389.60256342369</v>
      </c>
    </row>
    <row r="42" spans="1:7" x14ac:dyDescent="0.2">
      <c r="A42" s="6" t="s">
        <v>44</v>
      </c>
    </row>
    <row r="43" spans="1:7" x14ac:dyDescent="0.2">
      <c r="A43" t="s">
        <v>45</v>
      </c>
      <c r="B43">
        <f>IF(B16=B28,1-B29,IF(B16=C28,B29,0))</f>
        <v>0</v>
      </c>
      <c r="C43">
        <f>IF(C16=B28,1-B29,IF(C16=C28,B29,0))</f>
        <v>0</v>
      </c>
      <c r="D43">
        <f>IF(D16=B28,1-B29,IF(D16=C28,B29,0))</f>
        <v>0</v>
      </c>
      <c r="E43">
        <f>IF(E16=B28,1-B29,IF(E16=C28,B29,0))</f>
        <v>0</v>
      </c>
      <c r="F43">
        <f>IF(F16=B28,1-B29,IF(F16=C28,B29,0))</f>
        <v>0.99726027397260275</v>
      </c>
      <c r="G43">
        <f>IF(G16=B28,1-B29,IF(G16=C28,B29,0))</f>
        <v>2.7397260273972603E-3</v>
      </c>
    </row>
    <row r="44" spans="1:7" x14ac:dyDescent="0.2">
      <c r="A44" t="s">
        <v>46</v>
      </c>
      <c r="B44">
        <f>-(B22/360)*B43/(B32^2)</f>
        <v>0</v>
      </c>
      <c r="C44">
        <f>-(B22/360)*C43/(B32^2)</f>
        <v>0</v>
      </c>
      <c r="D44">
        <f>-(B22/360)*D43/(B32^2)</f>
        <v>0</v>
      </c>
      <c r="E44">
        <f>-(B22/360)*E43/(B32^2)</f>
        <v>0</v>
      </c>
      <c r="F44">
        <f>-(B22/360)*F43/(B32^2)</f>
        <v>-0.95472736971991212</v>
      </c>
      <c r="G44">
        <f>-(B22/360)*G43/(B32^2)</f>
        <v>-2.622877389340418E-3</v>
      </c>
    </row>
    <row r="45" spans="1:7" x14ac:dyDescent="0.2">
      <c r="A45" t="s">
        <v>47</v>
      </c>
      <c r="B45">
        <f>-(B22/360)*B43/(B33^2)</f>
        <v>0</v>
      </c>
      <c r="C45">
        <f>-(B22/360)*C43/(B33^2)</f>
        <v>0</v>
      </c>
      <c r="D45">
        <f>-(B22/360)*D43/(B33^2)</f>
        <v>0</v>
      </c>
      <c r="E45">
        <f>-(B22/360)*E43/(B33^2)</f>
        <v>0</v>
      </c>
      <c r="F45">
        <f>-(B22/360)*F43/(B33^2)</f>
        <v>-0.93616455054970693</v>
      </c>
      <c r="G45">
        <f>-(B22/360)*G43/(B33^2)</f>
        <v>-2.5718806333783159E-3</v>
      </c>
    </row>
    <row r="46" spans="1:7" x14ac:dyDescent="0.2">
      <c r="A46" t="s">
        <v>48</v>
      </c>
      <c r="B46">
        <f>B21*B20*B44/B35*B35</f>
        <v>0</v>
      </c>
      <c r="C46">
        <f>B21*B20*C44/B35*B35</f>
        <v>0</v>
      </c>
      <c r="D46">
        <f>B21*B20*D44/B35*B35</f>
        <v>0</v>
      </c>
      <c r="E46">
        <f>B21*B20*E44/B35*B35</f>
        <v>0</v>
      </c>
      <c r="F46">
        <f>B21*B20*F44/B35*B35</f>
        <v>-859254632.74792087</v>
      </c>
      <c r="G46">
        <f>B21*B20*G44/B35*B35</f>
        <v>-2360589.650406376</v>
      </c>
    </row>
    <row r="47" spans="1:7" x14ac:dyDescent="0.2">
      <c r="A47" t="s">
        <v>49</v>
      </c>
      <c r="B47">
        <f>B21*(-B20*B34/(B35^2))*B45*B35</f>
        <v>0</v>
      </c>
      <c r="C47">
        <f>B21*(-B20*B34/(B35^2))*C45*B35</f>
        <v>0</v>
      </c>
      <c r="D47">
        <f>B21*(-B20*B34/(B35^2))*D45*B35</f>
        <v>0</v>
      </c>
      <c r="E47">
        <f>B21*(-B20*B34/(B35^2))*E45*B35</f>
        <v>0</v>
      </c>
      <c r="F47">
        <f>B21*(-B20*B34/(B35^2))*F45*B35</f>
        <v>850860361.26193476</v>
      </c>
      <c r="G47">
        <f>B21*(-B20*B34/(B35^2))*G45*B35</f>
        <v>2337528.4650053154</v>
      </c>
    </row>
    <row r="48" spans="1:7" x14ac:dyDescent="0.2">
      <c r="A48" t="s">
        <v>50</v>
      </c>
      <c r="B48">
        <f>B37*B45</f>
        <v>0</v>
      </c>
      <c r="C48">
        <f>B37*C45</f>
        <v>0</v>
      </c>
      <c r="D48">
        <f>B37*D45</f>
        <v>0</v>
      </c>
      <c r="E48">
        <f>B37*E45</f>
        <v>0</v>
      </c>
      <c r="F48">
        <f>B37*F45</f>
        <v>-850860361.26193476</v>
      </c>
      <c r="G48">
        <f>B37*G45</f>
        <v>-2337528.4650053154</v>
      </c>
    </row>
    <row r="49" spans="1:7" x14ac:dyDescent="0.2">
      <c r="A49" t="s">
        <v>51</v>
      </c>
      <c r="B49">
        <f t="shared" ref="B49:G49" si="0">B47+B48</f>
        <v>0</v>
      </c>
      <c r="C49">
        <f t="shared" si="0"/>
        <v>0</v>
      </c>
      <c r="D49">
        <f t="shared" si="0"/>
        <v>0</v>
      </c>
      <c r="E49">
        <f t="shared" si="0"/>
        <v>0</v>
      </c>
      <c r="F49">
        <f t="shared" si="0"/>
        <v>0</v>
      </c>
      <c r="G49">
        <f t="shared" si="0"/>
        <v>0</v>
      </c>
    </row>
    <row r="51" spans="1:7" x14ac:dyDescent="0.2">
      <c r="A51" s="6" t="s">
        <v>52</v>
      </c>
    </row>
    <row r="52" spans="1:7" x14ac:dyDescent="0.2">
      <c r="A52" t="s">
        <v>53</v>
      </c>
      <c r="B52">
        <f>MATCH(B23,Curves!$B$2:$G$2,1)</f>
        <v>4</v>
      </c>
    </row>
    <row r="53" spans="1:7" x14ac:dyDescent="0.2">
      <c r="A53" t="s">
        <v>31</v>
      </c>
      <c r="B53">
        <f>INDEX(Curves!$B$2:$G$2,B52)</f>
        <v>180</v>
      </c>
      <c r="C53">
        <f>INDEX(Curves!$B$2:$G$2,B52+1)</f>
        <v>365</v>
      </c>
    </row>
    <row r="54" spans="1:7" x14ac:dyDescent="0.2">
      <c r="A54" t="s">
        <v>54</v>
      </c>
      <c r="B54">
        <f>(B23-B53)/(C53-B53)</f>
        <v>1.6216216216216217E-2</v>
      </c>
    </row>
    <row r="55" spans="1:7" x14ac:dyDescent="0.2">
      <c r="A55" t="s">
        <v>55</v>
      </c>
      <c r="B55">
        <f>INDEX(Curves!$B$4:$G$4,B52)+(INDEX(Curves!$B$4:$G$4,B52+1)-INDEX(Curves!$B$4:$G$4,B52))*B54</f>
        <v>3.5081081081081086E-2</v>
      </c>
    </row>
    <row r="56" spans="1:7" x14ac:dyDescent="0.2">
      <c r="A56" t="s">
        <v>56</v>
      </c>
      <c r="B56">
        <f>1+B55*B23/360</f>
        <v>1.0178328828828829</v>
      </c>
    </row>
    <row r="57" spans="1:7" x14ac:dyDescent="0.2">
      <c r="A57" t="s">
        <v>57</v>
      </c>
      <c r="B57">
        <f>1/B56</f>
        <v>0.98247955712299895</v>
      </c>
    </row>
    <row r="58" spans="1:7" x14ac:dyDescent="0.2">
      <c r="A58" t="s">
        <v>58</v>
      </c>
      <c r="B58">
        <f>B21*B24</f>
        <v>875000000</v>
      </c>
    </row>
    <row r="59" spans="1:7" x14ac:dyDescent="0.2">
      <c r="A59" t="s">
        <v>59</v>
      </c>
      <c r="B59">
        <f>B58*B57</f>
        <v>859669612.48262405</v>
      </c>
    </row>
    <row r="60" spans="1:7" x14ac:dyDescent="0.2">
      <c r="A60" t="s">
        <v>60</v>
      </c>
    </row>
    <row r="62" spans="1:7" x14ac:dyDescent="0.2">
      <c r="A62" s="7" t="s">
        <v>61</v>
      </c>
    </row>
    <row r="63" spans="1:7" x14ac:dyDescent="0.2">
      <c r="A63" t="s">
        <v>62</v>
      </c>
      <c r="B63" t="b">
        <f>ABS(B38-B5)&lt;0.01</f>
        <v>1</v>
      </c>
    </row>
    <row r="64" spans="1:7" x14ac:dyDescent="0.2">
      <c r="A64" t="s">
        <v>63</v>
      </c>
      <c r="B64" t="b">
        <f>ABS(B59-B6)&lt;0.01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Curves</vt:lpstr>
      <vt:lpstr>FixedRate</vt:lpstr>
      <vt:lpstr>Ibor</vt:lpstr>
      <vt:lpstr>Overnight</vt:lpstr>
      <vt:lpstr>CompOvernight</vt:lpstr>
      <vt:lpstr>Simple_NDF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Diaz</cp:lastModifiedBy>
  <dcterms:created xsi:type="dcterms:W3CDTF">2026-08-29T16:34:08Z</dcterms:created>
  <dcterms:modified xsi:type="dcterms:W3CDTF">2026-08-29T16:44:08Z</dcterms:modified>
</cp:coreProperties>
</file>