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rves" sheetId="1" state="visible" r:id="rId1"/>
    <sheet name="FixedRate" sheetId="2" state="visible" r:id="rId2"/>
    <sheet name="Ibor" sheetId="3" state="visible" r:id="rId3"/>
    <sheet name="Overnight" sheetId="4" state="visible" r:id="rId4"/>
    <sheet name="CompOvernight" sheetId="5" state="visible" r:id="rId5"/>
    <sheet name="Simple_ND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CE4D6"/>
        <bgColor rgb="00FCE4D6"/>
      </patternFill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Node index</t>
        </is>
      </c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</row>
    <row r="2">
      <c r="A2" s="1" t="inlineStr">
        <is>
          <t>Node t (days)</t>
        </is>
      </c>
      <c r="B2" t="n">
        <v>1</v>
      </c>
      <c r="C2" t="n">
        <v>30</v>
      </c>
      <c r="D2" t="n">
        <v>90</v>
      </c>
      <c r="E2" t="n">
        <v>180</v>
      </c>
      <c r="F2" t="n">
        <v>365</v>
      </c>
      <c r="G2" t="n">
        <v>730</v>
      </c>
    </row>
    <row r="3">
      <c r="A3" s="1" t="inlineStr">
        <is>
          <t>Notional curve rate</t>
        </is>
      </c>
      <c r="B3" t="n">
        <v>0.01</v>
      </c>
      <c r="C3" t="n">
        <v>0.015</v>
      </c>
      <c r="D3" t="n">
        <v>0.02</v>
      </c>
      <c r="E3" t="n">
        <v>0.025</v>
      </c>
      <c r="F3" t="n">
        <v>0.03</v>
      </c>
      <c r="G3" t="n">
        <v>0.035</v>
      </c>
    </row>
    <row r="4">
      <c r="A4" s="1" t="inlineStr">
        <is>
          <t>Settlement/discount curve rate</t>
        </is>
      </c>
      <c r="B4" t="n">
        <v>0.02</v>
      </c>
      <c r="C4" t="n">
        <v>0.025</v>
      </c>
      <c r="D4" t="n">
        <v>0.03</v>
      </c>
      <c r="E4" t="n">
        <v>0.035</v>
      </c>
      <c r="F4" t="n">
        <v>0.04</v>
      </c>
      <c r="G4" t="n">
        <v>0.045</v>
      </c>
    </row>
    <row r="6">
      <c r="A6" s="1" t="inlineStr">
        <is>
          <t>Spot FX (USDCLP)</t>
        </is>
      </c>
      <c r="B6" t="n">
        <v>900</v>
      </c>
    </row>
    <row r="7">
      <c r="A7" s="1" t="inlineStr">
        <is>
          <t>Nominal (USD)</t>
        </is>
      </c>
      <c r="B7" t="n">
        <v>1000000</v>
      </c>
    </row>
    <row r="8">
      <c r="A8" s="1" t="inlineStr">
        <is>
          <t>t_floating (days to end date)</t>
        </is>
      </c>
      <c r="B8" t="n">
        <v>366</v>
      </c>
    </row>
    <row r="9">
      <c r="A9" s="1" t="inlineStr">
        <is>
          <t>t_fixed (days to end date)</t>
        </is>
      </c>
      <c r="B9" t="n">
        <v>183</v>
      </c>
    </row>
    <row r="10">
      <c r="A10" s="1" t="inlineStr">
        <is>
          <t>Historical FX fixing</t>
        </is>
      </c>
      <c r="B10" t="n">
        <v>875</v>
      </c>
    </row>
    <row r="12">
      <c r="A12" t="inlineStr">
        <is>
          <t>Interpolation: linear on the rate between bracketing nodes (QCLinearInterpolator). wf(t) = 1 + rate(t) * t/360 (QCAct360 + QCLinearWf). DF(t) = 1/wf(t). Matches ZeroCouponCurve::getDiscountFactorAt exactly.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2" t="inlineStr">
        <is>
          <t>FixedRateMultiCurrencyCashflow</t>
        </is>
      </c>
    </row>
    <row r="3">
      <c r="A3" s="1" t="inlineStr">
        <is>
          <t>Node t (days)</t>
        </is>
      </c>
      <c r="B3">
        <f>Curves!B2</f>
        <v/>
      </c>
      <c r="C3">
        <f>Curves!C2</f>
        <v/>
      </c>
      <c r="D3">
        <f>Curves!D2</f>
        <v/>
      </c>
      <c r="E3">
        <f>Curves!E2</f>
        <v/>
      </c>
      <c r="F3">
        <f>Curves!F2</f>
        <v/>
      </c>
      <c r="G3">
        <f>Curves!G2</f>
        <v/>
      </c>
    </row>
    <row r="4">
      <c r="A4" s="1" t="inlineStr">
        <is>
          <t>Notional curve rate</t>
        </is>
      </c>
      <c r="B4">
        <f>Curves!B3</f>
        <v/>
      </c>
      <c r="C4">
        <f>Curves!C3</f>
        <v/>
      </c>
      <c r="D4">
        <f>Curves!D3</f>
        <v/>
      </c>
      <c r="E4">
        <f>Curves!E3</f>
        <v/>
      </c>
      <c r="F4">
        <f>Curves!F3</f>
        <v/>
      </c>
      <c r="G4">
        <f>Curves!G3</f>
        <v/>
      </c>
    </row>
    <row r="5">
      <c r="A5" s="1" t="inlineStr">
        <is>
          <t>Settlement/discount curve rate</t>
        </is>
      </c>
      <c r="B5">
        <f>Curves!B4</f>
        <v/>
      </c>
      <c r="C5">
        <f>Curves!C4</f>
        <v/>
      </c>
      <c r="D5">
        <f>Curves!D4</f>
        <v/>
      </c>
      <c r="E5">
        <f>Curves!E4</f>
        <v/>
      </c>
      <c r="F5">
        <f>Curves!F4</f>
        <v/>
      </c>
      <c r="G5">
        <f>Curves!G4</f>
        <v/>
      </c>
    </row>
    <row r="7">
      <c r="A7" t="inlineStr">
        <is>
          <t>Spot</t>
        </is>
      </c>
      <c r="B7">
        <f>Curves!B6</f>
        <v/>
      </c>
    </row>
    <row r="8">
      <c r="A8" t="inlineStr">
        <is>
          <t>Nominal (notional-currency amount(); zero-rate construction, see notebook)</t>
        </is>
      </c>
      <c r="B8">
        <f>Curves!B7</f>
        <v/>
      </c>
    </row>
    <row r="9">
      <c r="A9" t="inlineStr">
        <is>
          <t>t_floating</t>
        </is>
      </c>
      <c r="B9">
        <f>Curves!B8</f>
        <v/>
      </c>
    </row>
    <row r="10">
      <c r="A10" t="inlineStr">
        <is>
          <t>t_fixed</t>
        </is>
      </c>
      <c r="B10">
        <f>Curves!B9</f>
        <v/>
      </c>
    </row>
    <row r="11">
      <c r="A11" t="inlineStr">
        <is>
          <t>Historical FX fixing</t>
        </is>
      </c>
      <c r="B11">
        <f>Curves!B10</f>
        <v/>
      </c>
    </row>
    <row r="13">
      <c r="A13" s="3" t="inlineStr">
        <is>
          <t>CIP forward projection (still floating)</t>
        </is>
      </c>
    </row>
    <row r="14">
      <c r="A14" t="inlineStr">
        <is>
          <t>idx (largest node &lt;= t_floating)</t>
        </is>
      </c>
      <c r="B14">
        <f>MATCH(B9,Curves!$B$2:$G$2,1)</f>
        <v/>
      </c>
    </row>
    <row r="15">
      <c r="A15" t="inlineStr">
        <is>
          <t>x1, x2 (bracketing node t's)</t>
        </is>
      </c>
      <c r="B15">
        <f>INDEX(Curves!$B$2:$G$2,B14)</f>
        <v/>
      </c>
      <c r="C15">
        <f>IF(B14=6,B15,INDEX(Curves!$B$2:$G$2,B14+1))</f>
        <v/>
      </c>
    </row>
    <row r="16">
      <c r="A16" t="inlineStr">
        <is>
          <t>frac = (t_floating - x1) / (x2 - x1)</t>
        </is>
      </c>
      <c r="B16">
        <f>IF(B14=6,0,(B9-B15)/(C15-B15))</f>
        <v/>
      </c>
    </row>
    <row r="17">
      <c r="A17" t="inlineStr">
        <is>
          <t>Interpolated notional-curve rate at t_floating</t>
        </is>
      </c>
      <c r="B17">
        <f>INDEX(Curves!$B$3:$G$3,B14)+(INDEX(Curves!$B$3:$G$3,B14+1-IF(B14=6,1,0))-INDEX(Curves!$B$3:$G$3,B14))*B16</f>
        <v/>
      </c>
    </row>
    <row r="18">
      <c r="A18" t="inlineStr">
        <is>
          <t>Interpolated settlement-curve rate at t_floating</t>
        </is>
      </c>
      <c r="B18">
        <f>INDEX(Curves!$B$4:$G$4,B14)+(INDEX(Curves!$B$4:$G$4,B14+1-IF(B14=6,1,0))-INDEX(Curves!$B$4:$G$4,B14))*B16</f>
        <v/>
      </c>
    </row>
    <row r="19">
      <c r="A19" t="inlineStr">
        <is>
          <t>wf_notional = 1 + rate * t_floating/360</t>
        </is>
      </c>
      <c r="B19">
        <f>1+B17*B9/360</f>
        <v/>
      </c>
    </row>
    <row r="20">
      <c r="A20" t="inlineStr">
        <is>
          <t>wf_settlement = 1 + rate * t_floating/360</t>
        </is>
      </c>
      <c r="B20">
        <f>1+B18*B9/360</f>
        <v/>
      </c>
    </row>
    <row r="21">
      <c r="A21" t="inlineStr">
        <is>
          <t>DF_notional(t_floating) = 1/wf_notional</t>
        </is>
      </c>
      <c r="B21">
        <f>1/B19</f>
        <v/>
      </c>
    </row>
    <row r="22">
      <c r="A22" t="inlineStr">
        <is>
          <t>DF_settlement(t_floating) = 1/wf_settlement</t>
        </is>
      </c>
      <c r="B22">
        <f>1/B20</f>
        <v/>
      </c>
    </row>
    <row r="23">
      <c r="A23" t="inlineStr">
        <is>
          <t>Forward = Spot * DF_notional / DF_settlement</t>
        </is>
      </c>
      <c r="B23">
        <f>B7*B21/B22</f>
        <v/>
      </c>
    </row>
    <row r="24">
      <c r="A24" t="inlineStr">
        <is>
          <t>Amount (settlement ccy, strong-side notional) = Nominal * Forward</t>
        </is>
      </c>
      <c r="B24">
        <f>B8*B23</f>
        <v/>
      </c>
    </row>
    <row r="25">
      <c r="A25" t="inlineStr">
        <is>
          <t>PV (floating) = Amount * DF_settlement  [discount curve = settlement curve here]</t>
        </is>
      </c>
      <c r="B25">
        <f>B24*B22</f>
        <v/>
      </c>
    </row>
    <row r="26">
      <c r="A26" t="inlineStr">
        <is>
          <t>dForward/dSpot = DF_notional/DF_settlement</t>
        </is>
      </c>
      <c r="B26">
        <f>B21/B22</f>
        <v/>
      </c>
    </row>
    <row r="27">
      <c r="A27" t="inlineStr">
        <is>
          <t>FX delta = Nominal * dForward/dSpot * DF_settlement</t>
        </is>
      </c>
      <c r="B27">
        <f>B8*B26*B22</f>
        <v/>
      </c>
    </row>
    <row r="29">
      <c r="A29" s="3" t="inlineStr">
        <is>
          <t>Per-node curve-vertex derivatives (floating case)</t>
        </is>
      </c>
    </row>
    <row r="30">
      <c r="A30" t="inlineStr">
        <is>
          <t>dRate/dNode_j (shared: same node grid for both curves)</t>
        </is>
      </c>
      <c r="B30">
        <f>IF(B3=B15,1-B16,IF(B3=C15,B16,0))</f>
        <v/>
      </c>
      <c r="C30">
        <f>IF(C3=B15,1-B16,IF(C3=C15,B16,0))</f>
        <v/>
      </c>
      <c r="D30">
        <f>IF(D3=B15,1-B16,IF(D3=C15,B16,0))</f>
        <v/>
      </c>
      <c r="E30">
        <f>IF(E3=B15,1-B16,IF(E3=C15,B16,0))</f>
        <v/>
      </c>
      <c r="F30">
        <f>IF(F3=B15,1-B16,IF(F3=C15,B16,0))</f>
        <v/>
      </c>
      <c r="G30">
        <f>IF(G3=B15,1-B16,IF(G3=C15,B16,0))</f>
        <v/>
      </c>
    </row>
    <row r="31">
      <c r="A31" t="inlineStr">
        <is>
          <t>dDF_notional/dNode_j = -(t_floating/360) * dRate/dNode_j / wf_notional^2</t>
        </is>
      </c>
      <c r="B31">
        <f>-(B9/360)*B30/(B19^2)</f>
        <v/>
      </c>
      <c r="C31">
        <f>-(B9/360)*C30/(B19^2)</f>
        <v/>
      </c>
      <c r="D31">
        <f>-(B9/360)*D30/(B19^2)</f>
        <v/>
      </c>
      <c r="E31">
        <f>-(B9/360)*E30/(B19^2)</f>
        <v/>
      </c>
      <c r="F31">
        <f>-(B9/360)*F30/(B19^2)</f>
        <v/>
      </c>
      <c r="G31">
        <f>-(B9/360)*G30/(B19^2)</f>
        <v/>
      </c>
    </row>
    <row r="32">
      <c r="A32" t="inlineStr">
        <is>
          <t>dDF_settlement/dNode_j = -(t_floating/360) * dRate/dNode_j / wf_settlement^2</t>
        </is>
      </c>
      <c r="B32">
        <f>-(B9/360)*B30/(B20^2)</f>
        <v/>
      </c>
      <c r="C32">
        <f>-(B9/360)*C30/(B20^2)</f>
        <v/>
      </c>
      <c r="D32">
        <f>-(B9/360)*D30/(B20^2)</f>
        <v/>
      </c>
      <c r="E32">
        <f>-(B9/360)*E30/(B20^2)</f>
        <v/>
      </c>
      <c r="F32">
        <f>-(B9/360)*F30/(B20^2)</f>
        <v/>
      </c>
      <c r="G32">
        <f>-(B9/360)*G30/(B20^2)</f>
        <v/>
      </c>
    </row>
    <row r="33">
      <c r="A33" t="inlineStr">
        <is>
          <t>dPV/dNotionalNode_j = Nominal * Spot * dDF_notional/dNode_j / DF_settlement * DF_settlement</t>
        </is>
      </c>
      <c r="B33">
        <f>B8*B7*B31/B22*B22</f>
        <v/>
      </c>
      <c r="C33">
        <f>B8*B7*C31/B22*B22</f>
        <v/>
      </c>
      <c r="D33">
        <f>B8*B7*D31/B22*B22</f>
        <v/>
      </c>
      <c r="E33">
        <f>B8*B7*E31/B22*B22</f>
        <v/>
      </c>
      <c r="F33">
        <f>B8*B7*F31/B22*B22</f>
        <v/>
      </c>
      <c r="G33">
        <f>B8*B7*G31/B22*B22</f>
        <v/>
      </c>
    </row>
    <row r="34">
      <c r="A34" t="inlineStr">
        <is>
          <t>dPV/dCipSettlementNode_j = Nominal * (-Spot*DF_notional/DF_settlement^2) * dDF_settlement/dNode_j * DF_settlement</t>
        </is>
      </c>
      <c r="B34">
        <f>B8*(-B7*B21/(B22^2))*B32*B22</f>
        <v/>
      </c>
      <c r="C34">
        <f>B8*(-B7*B21/(B22^2))*C32*B22</f>
        <v/>
      </c>
      <c r="D34">
        <f>B8*(-B7*B21/(B22^2))*D32*B22</f>
        <v/>
      </c>
      <c r="E34">
        <f>B8*(-B7*B21/(B22^2))*E32*B22</f>
        <v/>
      </c>
      <c r="F34">
        <f>B8*(-B7*B21/(B22^2))*F32*B22</f>
        <v/>
      </c>
      <c r="G34">
        <f>B8*(-B7*B21/(B22^2))*G32*B22</f>
        <v/>
      </c>
    </row>
    <row r="35">
      <c r="A35" t="inlineStr">
        <is>
          <t>dPV/dDiscountNode_j = Amount * dDF_settlement/dNode_j  [discount curve = settlement curve]</t>
        </is>
      </c>
      <c r="B35">
        <f>B24*B32</f>
        <v/>
      </c>
      <c r="C35">
        <f>B24*C32</f>
        <v/>
      </c>
      <c r="D35">
        <f>B24*D32</f>
        <v/>
      </c>
      <c r="E35">
        <f>B24*E32</f>
        <v/>
      </c>
      <c r="F35">
        <f>B24*F32</f>
        <v/>
      </c>
      <c r="G35">
        <f>B24*G32</f>
        <v/>
      </c>
    </row>
    <row r="36">
      <c r="A36" t="inlineStr">
        <is>
          <t>Cancellation check: dPV/dCip + dPV/dDiscount (≈0 expected, strong-side, same curve)</t>
        </is>
      </c>
      <c r="B36">
        <f>B34+B35</f>
        <v/>
      </c>
      <c r="C36">
        <f>C34+C35</f>
        <v/>
      </c>
      <c r="D36">
        <f>D34+D35</f>
        <v/>
      </c>
      <c r="E36">
        <f>E34+E35</f>
        <v/>
      </c>
      <c r="F36">
        <f>F34+F35</f>
        <v/>
      </c>
      <c r="G36">
        <f>G34+G35</f>
        <v/>
      </c>
    </row>
    <row r="38">
      <c r="A38" s="3" t="inlineStr">
        <is>
          <t>Already-fixed case (valuation date after FX fixing date)</t>
        </is>
      </c>
    </row>
    <row r="39">
      <c r="A39" t="inlineStr">
        <is>
          <t>idx_fixed (largest node &lt;= t_fixed)</t>
        </is>
      </c>
      <c r="B39">
        <f>MATCH(B10,Curves!$B$2:$G$2,1)</f>
        <v/>
      </c>
    </row>
    <row r="40">
      <c r="A40" t="inlineStr">
        <is>
          <t>x1, x2 (bracketing node t's)</t>
        </is>
      </c>
      <c r="B40">
        <f>INDEX(Curves!$B$2:$G$2,B39)</f>
        <v/>
      </c>
      <c r="C40">
        <f>INDEX(Curves!$B$2:$G$2,B39+1)</f>
        <v/>
      </c>
    </row>
    <row r="41">
      <c r="A41" t="inlineStr">
        <is>
          <t>frac_fixed</t>
        </is>
      </c>
      <c r="B41">
        <f>(B10-B40)/(C40-B40)</f>
        <v/>
      </c>
    </row>
    <row r="42">
      <c r="A42" t="inlineStr">
        <is>
          <t>Interpolated settlement-curve rate at t_fixed</t>
        </is>
      </c>
      <c r="B42">
        <f>INDEX(Curves!$B$4:$G$4,B39)+(INDEX(Curves!$B$4:$G$4,B39+1)-INDEX(Curves!$B$4:$G$4,B39))*B41</f>
        <v/>
      </c>
    </row>
    <row r="43">
      <c r="A43" t="inlineStr">
        <is>
          <t>wf_settlement(t_fixed)</t>
        </is>
      </c>
      <c r="B43">
        <f>1+B42*B10/360</f>
        <v/>
      </c>
    </row>
    <row r="44">
      <c r="A44" t="inlineStr">
        <is>
          <t>DF_settlement(t_fixed)</t>
        </is>
      </c>
      <c r="B44">
        <f>1/B43</f>
        <v/>
      </c>
    </row>
    <row r="45">
      <c r="A45" t="inlineStr">
        <is>
          <t>Amount_fixed = Nominal * historical fixing</t>
        </is>
      </c>
      <c r="B45">
        <f>B8*B11</f>
        <v/>
      </c>
    </row>
    <row r="46">
      <c r="A46" t="inlineStr">
        <is>
          <t>PV (already fixed) = Amount_fixed * DF_settlement(t_fixed)</t>
        </is>
      </c>
      <c r="B46">
        <f>B45*B44</f>
        <v/>
      </c>
    </row>
    <row r="47">
      <c r="A47" t="inlineStr">
        <is>
          <t>All curve/spot derivatives (already fixed) = 0 (no FX-forward sensitivity once fixed)</t>
        </is>
      </c>
    </row>
    <row r="49">
      <c r="A49" s="4" t="inlineStr">
        <is>
          <t>Cross-check vs. qcfinancial (from settlement_currency_review.py / task 16 verification)</t>
        </is>
      </c>
    </row>
    <row r="50">
      <c r="A50" t="inlineStr">
        <is>
          <t>PV (floating), qcfinancial reference</t>
        </is>
      </c>
      <c r="B50" t="n">
        <v>873350642.3070815</v>
      </c>
    </row>
    <row r="51">
      <c r="A51" t="inlineStr">
        <is>
          <t>Match (floating)?</t>
        </is>
      </c>
      <c r="B51">
        <f>ABS(B25-B50)&lt;0.01</f>
        <v/>
      </c>
    </row>
    <row r="52">
      <c r="A52" t="inlineStr">
        <is>
          <t>PV (already fixed), qcfinancial reference</t>
        </is>
      </c>
      <c r="B52" t="n">
        <v>859669612.4826241</v>
      </c>
    </row>
    <row r="53">
      <c r="A53" t="inlineStr">
        <is>
          <t>Match (already fixed)?</t>
        </is>
      </c>
      <c r="B53">
        <f>ABS(B46-B52)&lt;0.01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2" t="inlineStr">
        <is>
          <t>IborMultiCurrencyCashflow</t>
        </is>
      </c>
    </row>
    <row r="3">
      <c r="A3" s="1" t="inlineStr">
        <is>
          <t>Node t (days)</t>
        </is>
      </c>
      <c r="B3">
        <f>Curves!B2</f>
        <v/>
      </c>
      <c r="C3">
        <f>Curves!C2</f>
        <v/>
      </c>
      <c r="D3">
        <f>Curves!D2</f>
        <v/>
      </c>
      <c r="E3">
        <f>Curves!E2</f>
        <v/>
      </c>
      <c r="F3">
        <f>Curves!F2</f>
        <v/>
      </c>
      <c r="G3">
        <f>Curves!G2</f>
        <v/>
      </c>
    </row>
    <row r="4">
      <c r="A4" s="1" t="inlineStr">
        <is>
          <t>Notional curve rate</t>
        </is>
      </c>
      <c r="B4">
        <f>Curves!B3</f>
        <v/>
      </c>
      <c r="C4">
        <f>Curves!C3</f>
        <v/>
      </c>
      <c r="D4">
        <f>Curves!D3</f>
        <v/>
      </c>
      <c r="E4">
        <f>Curves!E3</f>
        <v/>
      </c>
      <c r="F4">
        <f>Curves!F3</f>
        <v/>
      </c>
      <c r="G4">
        <f>Curves!G3</f>
        <v/>
      </c>
    </row>
    <row r="5">
      <c r="A5" s="1" t="inlineStr">
        <is>
          <t>Settlement/discount curve rate</t>
        </is>
      </c>
      <c r="B5">
        <f>Curves!B4</f>
        <v/>
      </c>
      <c r="C5">
        <f>Curves!C4</f>
        <v/>
      </c>
      <c r="D5">
        <f>Curves!D4</f>
        <v/>
      </c>
      <c r="E5">
        <f>Curves!E4</f>
        <v/>
      </c>
      <c r="F5">
        <f>Curves!F4</f>
        <v/>
      </c>
      <c r="G5">
        <f>Curves!G4</f>
        <v/>
      </c>
    </row>
    <row r="7">
      <c r="A7" t="inlineStr">
        <is>
          <t>Spot</t>
        </is>
      </c>
      <c r="B7">
        <f>Curves!B6</f>
        <v/>
      </c>
    </row>
    <row r="8">
      <c r="A8" t="inlineStr">
        <is>
          <t>Nominal (notional-currency amount(); zero-rate construction, see notebook)</t>
        </is>
      </c>
      <c r="B8">
        <f>Curves!B7</f>
        <v/>
      </c>
    </row>
    <row r="9">
      <c r="A9" t="inlineStr">
        <is>
          <t>t_floating</t>
        </is>
      </c>
      <c r="B9">
        <f>Curves!B8</f>
        <v/>
      </c>
    </row>
    <row r="10">
      <c r="A10" t="inlineStr">
        <is>
          <t>t_fixed</t>
        </is>
      </c>
      <c r="B10">
        <f>Curves!B9</f>
        <v/>
      </c>
    </row>
    <row r="11">
      <c r="A11" t="inlineStr">
        <is>
          <t>Historical FX fixing</t>
        </is>
      </c>
      <c r="B11">
        <f>Curves!B10</f>
        <v/>
      </c>
    </row>
    <row r="13">
      <c r="A13" s="3" t="inlineStr">
        <is>
          <t>CIP forward projection (still floating)</t>
        </is>
      </c>
    </row>
    <row r="14">
      <c r="A14" t="inlineStr">
        <is>
          <t>idx (largest node &lt;= t_floating)</t>
        </is>
      </c>
      <c r="B14">
        <f>MATCH(B9,Curves!$B$2:$G$2,1)</f>
        <v/>
      </c>
    </row>
    <row r="15">
      <c r="A15" t="inlineStr">
        <is>
          <t>x1, x2 (bracketing node t's)</t>
        </is>
      </c>
      <c r="B15">
        <f>INDEX(Curves!$B$2:$G$2,B14)</f>
        <v/>
      </c>
      <c r="C15">
        <f>IF(B14=6,B15,INDEX(Curves!$B$2:$G$2,B14+1))</f>
        <v/>
      </c>
    </row>
    <row r="16">
      <c r="A16" t="inlineStr">
        <is>
          <t>frac = (t_floating - x1) / (x2 - x1)</t>
        </is>
      </c>
      <c r="B16">
        <f>IF(B14=6,0,(B9-B15)/(C15-B15))</f>
        <v/>
      </c>
    </row>
    <row r="17">
      <c r="A17" t="inlineStr">
        <is>
          <t>Interpolated notional-curve rate at t_floating</t>
        </is>
      </c>
      <c r="B17">
        <f>INDEX(Curves!$B$3:$G$3,B14)+(INDEX(Curves!$B$3:$G$3,B14+1-IF(B14=6,1,0))-INDEX(Curves!$B$3:$G$3,B14))*B16</f>
        <v/>
      </c>
    </row>
    <row r="18">
      <c r="A18" t="inlineStr">
        <is>
          <t>Interpolated settlement-curve rate at t_floating</t>
        </is>
      </c>
      <c r="B18">
        <f>INDEX(Curves!$B$4:$G$4,B14)+(INDEX(Curves!$B$4:$G$4,B14+1-IF(B14=6,1,0))-INDEX(Curves!$B$4:$G$4,B14))*B16</f>
        <v/>
      </c>
    </row>
    <row r="19">
      <c r="A19" t="inlineStr">
        <is>
          <t>wf_notional = 1 + rate * t_floating/360</t>
        </is>
      </c>
      <c r="B19">
        <f>1+B17*B9/360</f>
        <v/>
      </c>
    </row>
    <row r="20">
      <c r="A20" t="inlineStr">
        <is>
          <t>wf_settlement = 1 + rate * t_floating/360</t>
        </is>
      </c>
      <c r="B20">
        <f>1+B18*B9/360</f>
        <v/>
      </c>
    </row>
    <row r="21">
      <c r="A21" t="inlineStr">
        <is>
          <t>DF_notional(t_floating) = 1/wf_notional</t>
        </is>
      </c>
      <c r="B21">
        <f>1/B19</f>
        <v/>
      </c>
    </row>
    <row r="22">
      <c r="A22" t="inlineStr">
        <is>
          <t>DF_settlement(t_floating) = 1/wf_settlement</t>
        </is>
      </c>
      <c r="B22">
        <f>1/B20</f>
        <v/>
      </c>
    </row>
    <row r="23">
      <c r="A23" t="inlineStr">
        <is>
          <t>Forward = Spot * DF_notional / DF_settlement</t>
        </is>
      </c>
      <c r="B23">
        <f>B7*B21/B22</f>
        <v/>
      </c>
    </row>
    <row r="24">
      <c r="A24" t="inlineStr">
        <is>
          <t>Amount (settlement ccy, strong-side notional) = Nominal * Forward</t>
        </is>
      </c>
      <c r="B24">
        <f>B8*B23</f>
        <v/>
      </c>
    </row>
    <row r="25">
      <c r="A25" t="inlineStr">
        <is>
          <t>PV (floating) = Amount * DF_settlement  [discount curve = settlement curve here]</t>
        </is>
      </c>
      <c r="B25">
        <f>B24*B22</f>
        <v/>
      </c>
    </row>
    <row r="26">
      <c r="A26" t="inlineStr">
        <is>
          <t>dForward/dSpot = DF_notional/DF_settlement</t>
        </is>
      </c>
      <c r="B26">
        <f>B21/B22</f>
        <v/>
      </c>
    </row>
    <row r="27">
      <c r="A27" t="inlineStr">
        <is>
          <t>FX delta = Nominal * dForward/dSpot * DF_settlement</t>
        </is>
      </c>
      <c r="B27">
        <f>B8*B26*B22</f>
        <v/>
      </c>
    </row>
    <row r="29">
      <c r="A29" s="3" t="inlineStr">
        <is>
          <t>Per-node curve-vertex derivatives (floating case)</t>
        </is>
      </c>
    </row>
    <row r="30">
      <c r="A30" t="inlineStr">
        <is>
          <t>dRate/dNode_j (shared: same node grid for both curves)</t>
        </is>
      </c>
      <c r="B30">
        <f>IF(B3=B15,1-B16,IF(B3=C15,B16,0))</f>
        <v/>
      </c>
      <c r="C30">
        <f>IF(C3=B15,1-B16,IF(C3=C15,B16,0))</f>
        <v/>
      </c>
      <c r="D30">
        <f>IF(D3=B15,1-B16,IF(D3=C15,B16,0))</f>
        <v/>
      </c>
      <c r="E30">
        <f>IF(E3=B15,1-B16,IF(E3=C15,B16,0))</f>
        <v/>
      </c>
      <c r="F30">
        <f>IF(F3=B15,1-B16,IF(F3=C15,B16,0))</f>
        <v/>
      </c>
      <c r="G30">
        <f>IF(G3=B15,1-B16,IF(G3=C15,B16,0))</f>
        <v/>
      </c>
    </row>
    <row r="31">
      <c r="A31" t="inlineStr">
        <is>
          <t>dDF_notional/dNode_j = -(t_floating/360) * dRate/dNode_j / wf_notional^2</t>
        </is>
      </c>
      <c r="B31">
        <f>-(B9/360)*B30/(B19^2)</f>
        <v/>
      </c>
      <c r="C31">
        <f>-(B9/360)*C30/(B19^2)</f>
        <v/>
      </c>
      <c r="D31">
        <f>-(B9/360)*D30/(B19^2)</f>
        <v/>
      </c>
      <c r="E31">
        <f>-(B9/360)*E30/(B19^2)</f>
        <v/>
      </c>
      <c r="F31">
        <f>-(B9/360)*F30/(B19^2)</f>
        <v/>
      </c>
      <c r="G31">
        <f>-(B9/360)*G30/(B19^2)</f>
        <v/>
      </c>
    </row>
    <row r="32">
      <c r="A32" t="inlineStr">
        <is>
          <t>dDF_settlement/dNode_j = -(t_floating/360) * dRate/dNode_j / wf_settlement^2</t>
        </is>
      </c>
      <c r="B32">
        <f>-(B9/360)*B30/(B20^2)</f>
        <v/>
      </c>
      <c r="C32">
        <f>-(B9/360)*C30/(B20^2)</f>
        <v/>
      </c>
      <c r="D32">
        <f>-(B9/360)*D30/(B20^2)</f>
        <v/>
      </c>
      <c r="E32">
        <f>-(B9/360)*E30/(B20^2)</f>
        <v/>
      </c>
      <c r="F32">
        <f>-(B9/360)*F30/(B20^2)</f>
        <v/>
      </c>
      <c r="G32">
        <f>-(B9/360)*G30/(B20^2)</f>
        <v/>
      </c>
    </row>
    <row r="33">
      <c r="A33" t="inlineStr">
        <is>
          <t>dPV/dNotionalNode_j = Nominal * Spot * dDF_notional/dNode_j / DF_settlement * DF_settlement</t>
        </is>
      </c>
      <c r="B33">
        <f>B8*B7*B31/B22*B22</f>
        <v/>
      </c>
      <c r="C33">
        <f>B8*B7*C31/B22*B22</f>
        <v/>
      </c>
      <c r="D33">
        <f>B8*B7*D31/B22*B22</f>
        <v/>
      </c>
      <c r="E33">
        <f>B8*B7*E31/B22*B22</f>
        <v/>
      </c>
      <c r="F33">
        <f>B8*B7*F31/B22*B22</f>
        <v/>
      </c>
      <c r="G33">
        <f>B8*B7*G31/B22*B22</f>
        <v/>
      </c>
    </row>
    <row r="34">
      <c r="A34" t="inlineStr">
        <is>
          <t>dPV/dCipSettlementNode_j = Nominal * (-Spot*DF_notional/DF_settlement^2) * dDF_settlement/dNode_j * DF_settlement</t>
        </is>
      </c>
      <c r="B34">
        <f>B8*(-B7*B21/(B22^2))*B32*B22</f>
        <v/>
      </c>
      <c r="C34">
        <f>B8*(-B7*B21/(B22^2))*C32*B22</f>
        <v/>
      </c>
      <c r="D34">
        <f>B8*(-B7*B21/(B22^2))*D32*B22</f>
        <v/>
      </c>
      <c r="E34">
        <f>B8*(-B7*B21/(B22^2))*E32*B22</f>
        <v/>
      </c>
      <c r="F34">
        <f>B8*(-B7*B21/(B22^2))*F32*B22</f>
        <v/>
      </c>
      <c r="G34">
        <f>B8*(-B7*B21/(B22^2))*G32*B22</f>
        <v/>
      </c>
    </row>
    <row r="35">
      <c r="A35" t="inlineStr">
        <is>
          <t>dPV/dDiscountNode_j = Amount * dDF_settlement/dNode_j  [discount curve = settlement curve]</t>
        </is>
      </c>
      <c r="B35">
        <f>B24*B32</f>
        <v/>
      </c>
      <c r="C35">
        <f>B24*C32</f>
        <v/>
      </c>
      <c r="D35">
        <f>B24*D32</f>
        <v/>
      </c>
      <c r="E35">
        <f>B24*E32</f>
        <v/>
      </c>
      <c r="F35">
        <f>B24*F32</f>
        <v/>
      </c>
      <c r="G35">
        <f>B24*G32</f>
        <v/>
      </c>
    </row>
    <row r="36">
      <c r="A36" t="inlineStr">
        <is>
          <t>Cancellation check: dPV/dCip + dPV/dDiscount (≈0 expected, strong-side, same curve)</t>
        </is>
      </c>
      <c r="B36">
        <f>B34+B35</f>
        <v/>
      </c>
      <c r="C36">
        <f>C34+C35</f>
        <v/>
      </c>
      <c r="D36">
        <f>D34+D35</f>
        <v/>
      </c>
      <c r="E36">
        <f>E34+E35</f>
        <v/>
      </c>
      <c r="F36">
        <f>F34+F35</f>
        <v/>
      </c>
      <c r="G36">
        <f>G34+G35</f>
        <v/>
      </c>
    </row>
    <row r="38">
      <c r="A38" s="3" t="inlineStr">
        <is>
          <t>Already-fixed case (valuation date after FX fixing date)</t>
        </is>
      </c>
    </row>
    <row r="39">
      <c r="A39" t="inlineStr">
        <is>
          <t>idx_fixed (largest node &lt;= t_fixed)</t>
        </is>
      </c>
      <c r="B39">
        <f>MATCH(B10,Curves!$B$2:$G$2,1)</f>
        <v/>
      </c>
    </row>
    <row r="40">
      <c r="A40" t="inlineStr">
        <is>
          <t>x1, x2 (bracketing node t's)</t>
        </is>
      </c>
      <c r="B40">
        <f>INDEX(Curves!$B$2:$G$2,B39)</f>
        <v/>
      </c>
      <c r="C40">
        <f>INDEX(Curves!$B$2:$G$2,B39+1)</f>
        <v/>
      </c>
    </row>
    <row r="41">
      <c r="A41" t="inlineStr">
        <is>
          <t>frac_fixed</t>
        </is>
      </c>
      <c r="B41">
        <f>(B10-B40)/(C40-B40)</f>
        <v/>
      </c>
    </row>
    <row r="42">
      <c r="A42" t="inlineStr">
        <is>
          <t>Interpolated settlement-curve rate at t_fixed</t>
        </is>
      </c>
      <c r="B42">
        <f>INDEX(Curves!$B$4:$G$4,B39)+(INDEX(Curves!$B$4:$G$4,B39+1)-INDEX(Curves!$B$4:$G$4,B39))*B41</f>
        <v/>
      </c>
    </row>
    <row r="43">
      <c r="A43" t="inlineStr">
        <is>
          <t>wf_settlement(t_fixed)</t>
        </is>
      </c>
      <c r="B43">
        <f>1+B42*B10/360</f>
        <v/>
      </c>
    </row>
    <row r="44">
      <c r="A44" t="inlineStr">
        <is>
          <t>DF_settlement(t_fixed)</t>
        </is>
      </c>
      <c r="B44">
        <f>1/B43</f>
        <v/>
      </c>
    </row>
    <row r="45">
      <c r="A45" t="inlineStr">
        <is>
          <t>Amount_fixed = Nominal * historical fixing</t>
        </is>
      </c>
      <c r="B45">
        <f>B8*B11</f>
        <v/>
      </c>
    </row>
    <row r="46">
      <c r="A46" t="inlineStr">
        <is>
          <t>PV (already fixed) = Amount_fixed * DF_settlement(t_fixed)</t>
        </is>
      </c>
      <c r="B46">
        <f>B45*B44</f>
        <v/>
      </c>
    </row>
    <row r="47">
      <c r="A47" t="inlineStr">
        <is>
          <t>All curve/spot derivatives (already fixed) = 0 (no FX-forward sensitivity once fixed)</t>
        </is>
      </c>
    </row>
    <row r="49">
      <c r="A49" s="4" t="inlineStr">
        <is>
          <t>Cross-check vs. qcfinancial (from settlement_currency_review.py / task 16 verification)</t>
        </is>
      </c>
    </row>
    <row r="50">
      <c r="A50" t="inlineStr">
        <is>
          <t>PV (floating), qcfinancial reference</t>
        </is>
      </c>
      <c r="B50" t="n">
        <v>873350642.3070815</v>
      </c>
    </row>
    <row r="51">
      <c r="A51" t="inlineStr">
        <is>
          <t>Match (floating)?</t>
        </is>
      </c>
      <c r="B51">
        <f>ABS(B25-B50)&lt;0.01</f>
        <v/>
      </c>
    </row>
    <row r="52">
      <c r="A52" t="inlineStr">
        <is>
          <t>PV (already fixed), qcfinancial reference</t>
        </is>
      </c>
      <c r="B52" t="n">
        <v>859669612.4826241</v>
      </c>
    </row>
    <row r="53">
      <c r="A53" t="inlineStr">
        <is>
          <t>Match (already fixed)?</t>
        </is>
      </c>
      <c r="B53">
        <f>ABS(B46-B52)&lt;0.01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2" t="inlineStr">
        <is>
          <t>OvernightIndexMultiCurrencyCashflow</t>
        </is>
      </c>
    </row>
    <row r="3">
      <c r="A3" s="1" t="inlineStr">
        <is>
          <t>Node t (days)</t>
        </is>
      </c>
      <c r="B3">
        <f>Curves!B2</f>
        <v/>
      </c>
      <c r="C3">
        <f>Curves!C2</f>
        <v/>
      </c>
      <c r="D3">
        <f>Curves!D2</f>
        <v/>
      </c>
      <c r="E3">
        <f>Curves!E2</f>
        <v/>
      </c>
      <c r="F3">
        <f>Curves!F2</f>
        <v/>
      </c>
      <c r="G3">
        <f>Curves!G2</f>
        <v/>
      </c>
    </row>
    <row r="4">
      <c r="A4" s="1" t="inlineStr">
        <is>
          <t>Notional curve rate</t>
        </is>
      </c>
      <c r="B4">
        <f>Curves!B3</f>
        <v/>
      </c>
      <c r="C4">
        <f>Curves!C3</f>
        <v/>
      </c>
      <c r="D4">
        <f>Curves!D3</f>
        <v/>
      </c>
      <c r="E4">
        <f>Curves!E3</f>
        <v/>
      </c>
      <c r="F4">
        <f>Curves!F3</f>
        <v/>
      </c>
      <c r="G4">
        <f>Curves!G3</f>
        <v/>
      </c>
    </row>
    <row r="5">
      <c r="A5" s="1" t="inlineStr">
        <is>
          <t>Settlement/discount curve rate</t>
        </is>
      </c>
      <c r="B5">
        <f>Curves!B4</f>
        <v/>
      </c>
      <c r="C5">
        <f>Curves!C4</f>
        <v/>
      </c>
      <c r="D5">
        <f>Curves!D4</f>
        <v/>
      </c>
      <c r="E5">
        <f>Curves!E4</f>
        <v/>
      </c>
      <c r="F5">
        <f>Curves!F4</f>
        <v/>
      </c>
      <c r="G5">
        <f>Curves!G4</f>
        <v/>
      </c>
    </row>
    <row r="7">
      <c r="A7" t="inlineStr">
        <is>
          <t>Spot</t>
        </is>
      </c>
      <c r="B7">
        <f>Curves!B6</f>
        <v/>
      </c>
    </row>
    <row r="8">
      <c r="A8" t="inlineStr">
        <is>
          <t>Nominal (notional-currency amount(); zero-rate construction, see notebook)</t>
        </is>
      </c>
      <c r="B8">
        <f>Curves!B7</f>
        <v/>
      </c>
    </row>
    <row r="9">
      <c r="A9" t="inlineStr">
        <is>
          <t>t_floating</t>
        </is>
      </c>
      <c r="B9">
        <f>Curves!B8</f>
        <v/>
      </c>
    </row>
    <row r="10">
      <c r="A10" t="inlineStr">
        <is>
          <t>t_fixed</t>
        </is>
      </c>
      <c r="B10">
        <f>Curves!B9</f>
        <v/>
      </c>
    </row>
    <row r="11">
      <c r="A11" t="inlineStr">
        <is>
          <t>Historical FX fixing</t>
        </is>
      </c>
      <c r="B11">
        <f>Curves!B10</f>
        <v/>
      </c>
    </row>
    <row r="13">
      <c r="A13" s="3" t="inlineStr">
        <is>
          <t>CIP forward projection (still floating)</t>
        </is>
      </c>
    </row>
    <row r="14">
      <c r="A14" t="inlineStr">
        <is>
          <t>idx (largest node &lt;= t_floating)</t>
        </is>
      </c>
      <c r="B14">
        <f>MATCH(B9,Curves!$B$2:$G$2,1)</f>
        <v/>
      </c>
    </row>
    <row r="15">
      <c r="A15" t="inlineStr">
        <is>
          <t>x1, x2 (bracketing node t's)</t>
        </is>
      </c>
      <c r="B15">
        <f>INDEX(Curves!$B$2:$G$2,B14)</f>
        <v/>
      </c>
      <c r="C15">
        <f>IF(B14=6,B15,INDEX(Curves!$B$2:$G$2,B14+1))</f>
        <v/>
      </c>
    </row>
    <row r="16">
      <c r="A16" t="inlineStr">
        <is>
          <t>frac = (t_floating - x1) / (x2 - x1)</t>
        </is>
      </c>
      <c r="B16">
        <f>IF(B14=6,0,(B9-B15)/(C15-B15))</f>
        <v/>
      </c>
    </row>
    <row r="17">
      <c r="A17" t="inlineStr">
        <is>
          <t>Interpolated notional-curve rate at t_floating</t>
        </is>
      </c>
      <c r="B17">
        <f>INDEX(Curves!$B$3:$G$3,B14)+(INDEX(Curves!$B$3:$G$3,B14+1-IF(B14=6,1,0))-INDEX(Curves!$B$3:$G$3,B14))*B16</f>
        <v/>
      </c>
    </row>
    <row r="18">
      <c r="A18" t="inlineStr">
        <is>
          <t>Interpolated settlement-curve rate at t_floating</t>
        </is>
      </c>
      <c r="B18">
        <f>INDEX(Curves!$B$4:$G$4,B14)+(INDEX(Curves!$B$4:$G$4,B14+1-IF(B14=6,1,0))-INDEX(Curves!$B$4:$G$4,B14))*B16</f>
        <v/>
      </c>
    </row>
    <row r="19">
      <c r="A19" t="inlineStr">
        <is>
          <t>wf_notional = 1 + rate * t_floating/360</t>
        </is>
      </c>
      <c r="B19">
        <f>1+B17*B9/360</f>
        <v/>
      </c>
    </row>
    <row r="20">
      <c r="A20" t="inlineStr">
        <is>
          <t>wf_settlement = 1 + rate * t_floating/360</t>
        </is>
      </c>
      <c r="B20">
        <f>1+B18*B9/360</f>
        <v/>
      </c>
    </row>
    <row r="21">
      <c r="A21" t="inlineStr">
        <is>
          <t>DF_notional(t_floating) = 1/wf_notional</t>
        </is>
      </c>
      <c r="B21">
        <f>1/B19</f>
        <v/>
      </c>
    </row>
    <row r="22">
      <c r="A22" t="inlineStr">
        <is>
          <t>DF_settlement(t_floating) = 1/wf_settlement</t>
        </is>
      </c>
      <c r="B22">
        <f>1/B20</f>
        <v/>
      </c>
    </row>
    <row r="23">
      <c r="A23" t="inlineStr">
        <is>
          <t>Forward = Spot * DF_notional / DF_settlement</t>
        </is>
      </c>
      <c r="B23">
        <f>B7*B21/B22</f>
        <v/>
      </c>
    </row>
    <row r="24">
      <c r="A24" t="inlineStr">
        <is>
          <t>Amount (settlement ccy, strong-side notional) = Nominal * Forward</t>
        </is>
      </c>
      <c r="B24">
        <f>B8*B23</f>
        <v/>
      </c>
    </row>
    <row r="25">
      <c r="A25" t="inlineStr">
        <is>
          <t>PV (floating) = Amount * DF_settlement  [discount curve = settlement curve here]</t>
        </is>
      </c>
      <c r="B25">
        <f>B24*B22</f>
        <v/>
      </c>
    </row>
    <row r="26">
      <c r="A26" t="inlineStr">
        <is>
          <t>dForward/dSpot = DF_notional/DF_settlement</t>
        </is>
      </c>
      <c r="B26">
        <f>B21/B22</f>
        <v/>
      </c>
    </row>
    <row r="27">
      <c r="A27" t="inlineStr">
        <is>
          <t>FX delta = Nominal * dForward/dSpot * DF_settlement</t>
        </is>
      </c>
      <c r="B27">
        <f>B8*B26*B22</f>
        <v/>
      </c>
    </row>
    <row r="29">
      <c r="A29" s="3" t="inlineStr">
        <is>
          <t>Per-node curve-vertex derivatives (floating case)</t>
        </is>
      </c>
    </row>
    <row r="30">
      <c r="A30" t="inlineStr">
        <is>
          <t>dRate/dNode_j (shared: same node grid for both curves)</t>
        </is>
      </c>
      <c r="B30">
        <f>IF(B3=B15,1-B16,IF(B3=C15,B16,0))</f>
        <v/>
      </c>
      <c r="C30">
        <f>IF(C3=B15,1-B16,IF(C3=C15,B16,0))</f>
        <v/>
      </c>
      <c r="D30">
        <f>IF(D3=B15,1-B16,IF(D3=C15,B16,0))</f>
        <v/>
      </c>
      <c r="E30">
        <f>IF(E3=B15,1-B16,IF(E3=C15,B16,0))</f>
        <v/>
      </c>
      <c r="F30">
        <f>IF(F3=B15,1-B16,IF(F3=C15,B16,0))</f>
        <v/>
      </c>
      <c r="G30">
        <f>IF(G3=B15,1-B16,IF(G3=C15,B16,0))</f>
        <v/>
      </c>
    </row>
    <row r="31">
      <c r="A31" t="inlineStr">
        <is>
          <t>dDF_notional/dNode_j = -(t_floating/360) * dRate/dNode_j / wf_notional^2</t>
        </is>
      </c>
      <c r="B31">
        <f>-(B9/360)*B30/(B19^2)</f>
        <v/>
      </c>
      <c r="C31">
        <f>-(B9/360)*C30/(B19^2)</f>
        <v/>
      </c>
      <c r="D31">
        <f>-(B9/360)*D30/(B19^2)</f>
        <v/>
      </c>
      <c r="E31">
        <f>-(B9/360)*E30/(B19^2)</f>
        <v/>
      </c>
      <c r="F31">
        <f>-(B9/360)*F30/(B19^2)</f>
        <v/>
      </c>
      <c r="G31">
        <f>-(B9/360)*G30/(B19^2)</f>
        <v/>
      </c>
    </row>
    <row r="32">
      <c r="A32" t="inlineStr">
        <is>
          <t>dDF_settlement/dNode_j = -(t_floating/360) * dRate/dNode_j / wf_settlement^2</t>
        </is>
      </c>
      <c r="B32">
        <f>-(B9/360)*B30/(B20^2)</f>
        <v/>
      </c>
      <c r="C32">
        <f>-(B9/360)*C30/(B20^2)</f>
        <v/>
      </c>
      <c r="D32">
        <f>-(B9/360)*D30/(B20^2)</f>
        <v/>
      </c>
      <c r="E32">
        <f>-(B9/360)*E30/(B20^2)</f>
        <v/>
      </c>
      <c r="F32">
        <f>-(B9/360)*F30/(B20^2)</f>
        <v/>
      </c>
      <c r="G32">
        <f>-(B9/360)*G30/(B20^2)</f>
        <v/>
      </c>
    </row>
    <row r="33">
      <c r="A33" t="inlineStr">
        <is>
          <t>dPV/dNotionalNode_j = Nominal * Spot * dDF_notional/dNode_j / DF_settlement * DF_settlement</t>
        </is>
      </c>
      <c r="B33">
        <f>B8*B7*B31/B22*B22</f>
        <v/>
      </c>
      <c r="C33">
        <f>B8*B7*C31/B22*B22</f>
        <v/>
      </c>
      <c r="D33">
        <f>B8*B7*D31/B22*B22</f>
        <v/>
      </c>
      <c r="E33">
        <f>B8*B7*E31/B22*B22</f>
        <v/>
      </c>
      <c r="F33">
        <f>B8*B7*F31/B22*B22</f>
        <v/>
      </c>
      <c r="G33">
        <f>B8*B7*G31/B22*B22</f>
        <v/>
      </c>
    </row>
    <row r="34">
      <c r="A34" t="inlineStr">
        <is>
          <t>dPV/dCipSettlementNode_j = Nominal * (-Spot*DF_notional/DF_settlement^2) * dDF_settlement/dNode_j * DF_settlement</t>
        </is>
      </c>
      <c r="B34">
        <f>B8*(-B7*B21/(B22^2))*B32*B22</f>
        <v/>
      </c>
      <c r="C34">
        <f>B8*(-B7*B21/(B22^2))*C32*B22</f>
        <v/>
      </c>
      <c r="D34">
        <f>B8*(-B7*B21/(B22^2))*D32*B22</f>
        <v/>
      </c>
      <c r="E34">
        <f>B8*(-B7*B21/(B22^2))*E32*B22</f>
        <v/>
      </c>
      <c r="F34">
        <f>B8*(-B7*B21/(B22^2))*F32*B22</f>
        <v/>
      </c>
      <c r="G34">
        <f>B8*(-B7*B21/(B22^2))*G32*B22</f>
        <v/>
      </c>
    </row>
    <row r="35">
      <c r="A35" t="inlineStr">
        <is>
          <t>dPV/dDiscountNode_j = Amount * dDF_settlement/dNode_j  [discount curve = settlement curve]</t>
        </is>
      </c>
      <c r="B35">
        <f>B24*B32</f>
        <v/>
      </c>
      <c r="C35">
        <f>B24*C32</f>
        <v/>
      </c>
      <c r="D35">
        <f>B24*D32</f>
        <v/>
      </c>
      <c r="E35">
        <f>B24*E32</f>
        <v/>
      </c>
      <c r="F35">
        <f>B24*F32</f>
        <v/>
      </c>
      <c r="G35">
        <f>B24*G32</f>
        <v/>
      </c>
    </row>
    <row r="36">
      <c r="A36" t="inlineStr">
        <is>
          <t>Cancellation check: dPV/dCip + dPV/dDiscount (≈0 expected, strong-side, same curve)</t>
        </is>
      </c>
      <c r="B36">
        <f>B34+B35</f>
        <v/>
      </c>
      <c r="C36">
        <f>C34+C35</f>
        <v/>
      </c>
      <c r="D36">
        <f>D34+D35</f>
        <v/>
      </c>
      <c r="E36">
        <f>E34+E35</f>
        <v/>
      </c>
      <c r="F36">
        <f>F34+F35</f>
        <v/>
      </c>
      <c r="G36">
        <f>G34+G35</f>
        <v/>
      </c>
    </row>
    <row r="38">
      <c r="A38" s="3" t="inlineStr">
        <is>
          <t>Already-fixed case (valuation date after FX fixing date)</t>
        </is>
      </c>
    </row>
    <row r="39">
      <c r="A39" t="inlineStr">
        <is>
          <t>idx_fixed (largest node &lt;= t_fixed)</t>
        </is>
      </c>
      <c r="B39">
        <f>MATCH(B10,Curves!$B$2:$G$2,1)</f>
        <v/>
      </c>
    </row>
    <row r="40">
      <c r="A40" t="inlineStr">
        <is>
          <t>x1, x2 (bracketing node t's)</t>
        </is>
      </c>
      <c r="B40">
        <f>INDEX(Curves!$B$2:$G$2,B39)</f>
        <v/>
      </c>
      <c r="C40">
        <f>INDEX(Curves!$B$2:$G$2,B39+1)</f>
        <v/>
      </c>
    </row>
    <row r="41">
      <c r="A41" t="inlineStr">
        <is>
          <t>frac_fixed</t>
        </is>
      </c>
      <c r="B41">
        <f>(B10-B40)/(C40-B40)</f>
        <v/>
      </c>
    </row>
    <row r="42">
      <c r="A42" t="inlineStr">
        <is>
          <t>Interpolated settlement-curve rate at t_fixed</t>
        </is>
      </c>
      <c r="B42">
        <f>INDEX(Curves!$B$4:$G$4,B39)+(INDEX(Curves!$B$4:$G$4,B39+1)-INDEX(Curves!$B$4:$G$4,B39))*B41</f>
        <v/>
      </c>
    </row>
    <row r="43">
      <c r="A43" t="inlineStr">
        <is>
          <t>wf_settlement(t_fixed)</t>
        </is>
      </c>
      <c r="B43">
        <f>1+B42*B10/360</f>
        <v/>
      </c>
    </row>
    <row r="44">
      <c r="A44" t="inlineStr">
        <is>
          <t>DF_settlement(t_fixed)</t>
        </is>
      </c>
      <c r="B44">
        <f>1/B43</f>
        <v/>
      </c>
    </row>
    <row r="45">
      <c r="A45" t="inlineStr">
        <is>
          <t>Amount_fixed = Nominal * historical fixing</t>
        </is>
      </c>
      <c r="B45">
        <f>B8*B11</f>
        <v/>
      </c>
    </row>
    <row r="46">
      <c r="A46" t="inlineStr">
        <is>
          <t>PV (already fixed) = Amount_fixed * DF_settlement(t_fixed)</t>
        </is>
      </c>
      <c r="B46">
        <f>B45*B44</f>
        <v/>
      </c>
    </row>
    <row r="47">
      <c r="A47" t="inlineStr">
        <is>
          <t>All curve/spot derivatives (already fixed) = 0 (no FX-forward sensitivity once fixed)</t>
        </is>
      </c>
    </row>
    <row r="49">
      <c r="A49" s="4" t="inlineStr">
        <is>
          <t>Cross-check vs. qcfinancial (from settlement_currency_review.py / task 16 verification)</t>
        </is>
      </c>
    </row>
    <row r="50">
      <c r="A50" t="inlineStr">
        <is>
          <t>PV (floating), qcfinancial reference</t>
        </is>
      </c>
      <c r="B50" t="n">
        <v>873350642.3070815</v>
      </c>
    </row>
    <row r="51">
      <c r="A51" t="inlineStr">
        <is>
          <t>Match (floating)?</t>
        </is>
      </c>
      <c r="B51">
        <f>ABS(B25-B50)&lt;0.01</f>
        <v/>
      </c>
    </row>
    <row r="52">
      <c r="A52" t="inlineStr">
        <is>
          <t>PV (already fixed), qcfinancial reference</t>
        </is>
      </c>
      <c r="B52" t="n">
        <v>859669612.4826241</v>
      </c>
    </row>
    <row r="53">
      <c r="A53" t="inlineStr">
        <is>
          <t>Match (already fixed)?</t>
        </is>
      </c>
      <c r="B53">
        <f>ABS(B46-B52)&lt;0.01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2" t="inlineStr">
        <is>
          <t>CompoundedOvernightRateMultiCurrencyCashflow2</t>
        </is>
      </c>
    </row>
    <row r="3">
      <c r="A3" s="1" t="inlineStr">
        <is>
          <t>Node t (days)</t>
        </is>
      </c>
      <c r="B3">
        <f>Curves!B2</f>
        <v/>
      </c>
      <c r="C3">
        <f>Curves!C2</f>
        <v/>
      </c>
      <c r="D3">
        <f>Curves!D2</f>
        <v/>
      </c>
      <c r="E3">
        <f>Curves!E2</f>
        <v/>
      </c>
      <c r="F3">
        <f>Curves!F2</f>
        <v/>
      </c>
      <c r="G3">
        <f>Curves!G2</f>
        <v/>
      </c>
    </row>
    <row r="4">
      <c r="A4" s="1" t="inlineStr">
        <is>
          <t>Notional curve rate</t>
        </is>
      </c>
      <c r="B4">
        <f>Curves!B3</f>
        <v/>
      </c>
      <c r="C4">
        <f>Curves!C3</f>
        <v/>
      </c>
      <c r="D4">
        <f>Curves!D3</f>
        <v/>
      </c>
      <c r="E4">
        <f>Curves!E3</f>
        <v/>
      </c>
      <c r="F4">
        <f>Curves!F3</f>
        <v/>
      </c>
      <c r="G4">
        <f>Curves!G3</f>
        <v/>
      </c>
    </row>
    <row r="5">
      <c r="A5" s="1" t="inlineStr">
        <is>
          <t>Settlement/discount curve rate</t>
        </is>
      </c>
      <c r="B5">
        <f>Curves!B4</f>
        <v/>
      </c>
      <c r="C5">
        <f>Curves!C4</f>
        <v/>
      </c>
      <c r="D5">
        <f>Curves!D4</f>
        <v/>
      </c>
      <c r="E5">
        <f>Curves!E4</f>
        <v/>
      </c>
      <c r="F5">
        <f>Curves!F4</f>
        <v/>
      </c>
      <c r="G5">
        <f>Curves!G4</f>
        <v/>
      </c>
    </row>
    <row r="7">
      <c r="A7" t="inlineStr">
        <is>
          <t>Spot</t>
        </is>
      </c>
      <c r="B7">
        <f>Curves!B6</f>
        <v/>
      </c>
    </row>
    <row r="8">
      <c r="A8" t="inlineStr">
        <is>
          <t>Nominal (notional-currency amount(); zero-rate construction, see notebook)</t>
        </is>
      </c>
      <c r="B8">
        <f>Curves!B7</f>
        <v/>
      </c>
    </row>
    <row r="9">
      <c r="A9" t="inlineStr">
        <is>
          <t>t_floating</t>
        </is>
      </c>
      <c r="B9">
        <f>Curves!B8</f>
        <v/>
      </c>
    </row>
    <row r="10">
      <c r="A10" t="inlineStr">
        <is>
          <t>t_fixed</t>
        </is>
      </c>
      <c r="B10">
        <f>Curves!B9</f>
        <v/>
      </c>
    </row>
    <row r="11">
      <c r="A11" t="inlineStr">
        <is>
          <t>Historical FX fixing</t>
        </is>
      </c>
      <c r="B11">
        <f>Curves!B10</f>
        <v/>
      </c>
    </row>
    <row r="13">
      <c r="A13" s="3" t="inlineStr">
        <is>
          <t>CIP forward projection (still floating)</t>
        </is>
      </c>
    </row>
    <row r="14">
      <c r="A14" t="inlineStr">
        <is>
          <t>idx (largest node &lt;= t_floating)</t>
        </is>
      </c>
      <c r="B14">
        <f>MATCH(B9,Curves!$B$2:$G$2,1)</f>
        <v/>
      </c>
    </row>
    <row r="15">
      <c r="A15" t="inlineStr">
        <is>
          <t>x1, x2 (bracketing node t's)</t>
        </is>
      </c>
      <c r="B15">
        <f>INDEX(Curves!$B$2:$G$2,B14)</f>
        <v/>
      </c>
      <c r="C15">
        <f>IF(B14=6,B15,INDEX(Curves!$B$2:$G$2,B14+1))</f>
        <v/>
      </c>
    </row>
    <row r="16">
      <c r="A16" t="inlineStr">
        <is>
          <t>frac = (t_floating - x1) / (x2 - x1)</t>
        </is>
      </c>
      <c r="B16">
        <f>IF(B14=6,0,(B9-B15)/(C15-B15))</f>
        <v/>
      </c>
    </row>
    <row r="17">
      <c r="A17" t="inlineStr">
        <is>
          <t>Interpolated notional-curve rate at t_floating</t>
        </is>
      </c>
      <c r="B17">
        <f>INDEX(Curves!$B$3:$G$3,B14)+(INDEX(Curves!$B$3:$G$3,B14+1-IF(B14=6,1,0))-INDEX(Curves!$B$3:$G$3,B14))*B16</f>
        <v/>
      </c>
    </row>
    <row r="18">
      <c r="A18" t="inlineStr">
        <is>
          <t>Interpolated settlement-curve rate at t_floating</t>
        </is>
      </c>
      <c r="B18">
        <f>INDEX(Curves!$B$4:$G$4,B14)+(INDEX(Curves!$B$4:$G$4,B14+1-IF(B14=6,1,0))-INDEX(Curves!$B$4:$G$4,B14))*B16</f>
        <v/>
      </c>
    </row>
    <row r="19">
      <c r="A19" t="inlineStr">
        <is>
          <t>wf_notional = 1 + rate * t_floating/360</t>
        </is>
      </c>
      <c r="B19">
        <f>1+B17*B9/360</f>
        <v/>
      </c>
    </row>
    <row r="20">
      <c r="A20" t="inlineStr">
        <is>
          <t>wf_settlement = 1 + rate * t_floating/360</t>
        </is>
      </c>
      <c r="B20">
        <f>1+B18*B9/360</f>
        <v/>
      </c>
    </row>
    <row r="21">
      <c r="A21" t="inlineStr">
        <is>
          <t>DF_notional(t_floating) = 1/wf_notional</t>
        </is>
      </c>
      <c r="B21">
        <f>1/B19</f>
        <v/>
      </c>
    </row>
    <row r="22">
      <c r="A22" t="inlineStr">
        <is>
          <t>DF_settlement(t_floating) = 1/wf_settlement</t>
        </is>
      </c>
      <c r="B22">
        <f>1/B20</f>
        <v/>
      </c>
    </row>
    <row r="23">
      <c r="A23" t="inlineStr">
        <is>
          <t>Forward = Spot * DF_notional / DF_settlement</t>
        </is>
      </c>
      <c r="B23">
        <f>B7*B21/B22</f>
        <v/>
      </c>
    </row>
    <row r="24">
      <c r="A24" t="inlineStr">
        <is>
          <t>Amount (settlement ccy, strong-side notional) = Nominal * Forward</t>
        </is>
      </c>
      <c r="B24">
        <f>B8*B23</f>
        <v/>
      </c>
    </row>
    <row r="25">
      <c r="A25" t="inlineStr">
        <is>
          <t>PV (floating) = Amount * DF_settlement  [discount curve = settlement curve here]</t>
        </is>
      </c>
      <c r="B25">
        <f>B24*B22</f>
        <v/>
      </c>
    </row>
    <row r="26">
      <c r="A26" t="inlineStr">
        <is>
          <t>dForward/dSpot = DF_notional/DF_settlement</t>
        </is>
      </c>
      <c r="B26">
        <f>B21/B22</f>
        <v/>
      </c>
    </row>
    <row r="27">
      <c r="A27" t="inlineStr">
        <is>
          <t>FX delta = Nominal * dForward/dSpot * DF_settlement</t>
        </is>
      </c>
      <c r="B27">
        <f>B8*B26*B22</f>
        <v/>
      </c>
    </row>
    <row r="29">
      <c r="A29" s="3" t="inlineStr">
        <is>
          <t>Per-node curve-vertex derivatives (floating case)</t>
        </is>
      </c>
    </row>
    <row r="30">
      <c r="A30" t="inlineStr">
        <is>
          <t>dRate/dNode_j (shared: same node grid for both curves)</t>
        </is>
      </c>
      <c r="B30">
        <f>IF(B3=B15,1-B16,IF(B3=C15,B16,0))</f>
        <v/>
      </c>
      <c r="C30">
        <f>IF(C3=B15,1-B16,IF(C3=C15,B16,0))</f>
        <v/>
      </c>
      <c r="D30">
        <f>IF(D3=B15,1-B16,IF(D3=C15,B16,0))</f>
        <v/>
      </c>
      <c r="E30">
        <f>IF(E3=B15,1-B16,IF(E3=C15,B16,0))</f>
        <v/>
      </c>
      <c r="F30">
        <f>IF(F3=B15,1-B16,IF(F3=C15,B16,0))</f>
        <v/>
      </c>
      <c r="G30">
        <f>IF(G3=B15,1-B16,IF(G3=C15,B16,0))</f>
        <v/>
      </c>
    </row>
    <row r="31">
      <c r="A31" t="inlineStr">
        <is>
          <t>dDF_notional/dNode_j = -(t_floating/360) * dRate/dNode_j / wf_notional^2</t>
        </is>
      </c>
      <c r="B31">
        <f>-(B9/360)*B30/(B19^2)</f>
        <v/>
      </c>
      <c r="C31">
        <f>-(B9/360)*C30/(B19^2)</f>
        <v/>
      </c>
      <c r="D31">
        <f>-(B9/360)*D30/(B19^2)</f>
        <v/>
      </c>
      <c r="E31">
        <f>-(B9/360)*E30/(B19^2)</f>
        <v/>
      </c>
      <c r="F31">
        <f>-(B9/360)*F30/(B19^2)</f>
        <v/>
      </c>
      <c r="G31">
        <f>-(B9/360)*G30/(B19^2)</f>
        <v/>
      </c>
    </row>
    <row r="32">
      <c r="A32" t="inlineStr">
        <is>
          <t>dDF_settlement/dNode_j = -(t_floating/360) * dRate/dNode_j / wf_settlement^2</t>
        </is>
      </c>
      <c r="B32">
        <f>-(B9/360)*B30/(B20^2)</f>
        <v/>
      </c>
      <c r="C32">
        <f>-(B9/360)*C30/(B20^2)</f>
        <v/>
      </c>
      <c r="D32">
        <f>-(B9/360)*D30/(B20^2)</f>
        <v/>
      </c>
      <c r="E32">
        <f>-(B9/360)*E30/(B20^2)</f>
        <v/>
      </c>
      <c r="F32">
        <f>-(B9/360)*F30/(B20^2)</f>
        <v/>
      </c>
      <c r="G32">
        <f>-(B9/360)*G30/(B20^2)</f>
        <v/>
      </c>
    </row>
    <row r="33">
      <c r="A33" t="inlineStr">
        <is>
          <t>dPV/dNotionalNode_j = Nominal * Spot * dDF_notional/dNode_j / DF_settlement * DF_settlement</t>
        </is>
      </c>
      <c r="B33">
        <f>B8*B7*B31/B22*B22</f>
        <v/>
      </c>
      <c r="C33">
        <f>B8*B7*C31/B22*B22</f>
        <v/>
      </c>
      <c r="D33">
        <f>B8*B7*D31/B22*B22</f>
        <v/>
      </c>
      <c r="E33">
        <f>B8*B7*E31/B22*B22</f>
        <v/>
      </c>
      <c r="F33">
        <f>B8*B7*F31/B22*B22</f>
        <v/>
      </c>
      <c r="G33">
        <f>B8*B7*G31/B22*B22</f>
        <v/>
      </c>
    </row>
    <row r="34">
      <c r="A34" t="inlineStr">
        <is>
          <t>dPV/dCipSettlementNode_j = Nominal * (-Spot*DF_notional/DF_settlement^2) * dDF_settlement/dNode_j * DF_settlement</t>
        </is>
      </c>
      <c r="B34">
        <f>B8*(-B7*B21/(B22^2))*B32*B22</f>
        <v/>
      </c>
      <c r="C34">
        <f>B8*(-B7*B21/(B22^2))*C32*B22</f>
        <v/>
      </c>
      <c r="D34">
        <f>B8*(-B7*B21/(B22^2))*D32*B22</f>
        <v/>
      </c>
      <c r="E34">
        <f>B8*(-B7*B21/(B22^2))*E32*B22</f>
        <v/>
      </c>
      <c r="F34">
        <f>B8*(-B7*B21/(B22^2))*F32*B22</f>
        <v/>
      </c>
      <c r="G34">
        <f>B8*(-B7*B21/(B22^2))*G32*B22</f>
        <v/>
      </c>
    </row>
    <row r="35">
      <c r="A35" t="inlineStr">
        <is>
          <t>dPV/dDiscountNode_j = Amount * dDF_settlement/dNode_j  [discount curve = settlement curve]</t>
        </is>
      </c>
      <c r="B35">
        <f>B24*B32</f>
        <v/>
      </c>
      <c r="C35">
        <f>B24*C32</f>
        <v/>
      </c>
      <c r="D35">
        <f>B24*D32</f>
        <v/>
      </c>
      <c r="E35">
        <f>B24*E32</f>
        <v/>
      </c>
      <c r="F35">
        <f>B24*F32</f>
        <v/>
      </c>
      <c r="G35">
        <f>B24*G32</f>
        <v/>
      </c>
    </row>
    <row r="36">
      <c r="A36" t="inlineStr">
        <is>
          <t>Cancellation check: dPV/dCip + dPV/dDiscount (≈0 expected, strong-side, same curve)</t>
        </is>
      </c>
      <c r="B36">
        <f>B34+B35</f>
        <v/>
      </c>
      <c r="C36">
        <f>C34+C35</f>
        <v/>
      </c>
      <c r="D36">
        <f>D34+D35</f>
        <v/>
      </c>
      <c r="E36">
        <f>E34+E35</f>
        <v/>
      </c>
      <c r="F36">
        <f>F34+F35</f>
        <v/>
      </c>
      <c r="G36">
        <f>G34+G35</f>
        <v/>
      </c>
    </row>
    <row r="38">
      <c r="A38" s="3" t="inlineStr">
        <is>
          <t>Already-fixed case (valuation date after FX fixing date)</t>
        </is>
      </c>
    </row>
    <row r="39">
      <c r="A39" t="inlineStr">
        <is>
          <t>idx_fixed (largest node &lt;= t_fixed)</t>
        </is>
      </c>
      <c r="B39">
        <f>MATCH(B10,Curves!$B$2:$G$2,1)</f>
        <v/>
      </c>
    </row>
    <row r="40">
      <c r="A40" t="inlineStr">
        <is>
          <t>x1, x2 (bracketing node t's)</t>
        </is>
      </c>
      <c r="B40">
        <f>INDEX(Curves!$B$2:$G$2,B39)</f>
        <v/>
      </c>
      <c r="C40">
        <f>INDEX(Curves!$B$2:$G$2,B39+1)</f>
        <v/>
      </c>
    </row>
    <row r="41">
      <c r="A41" t="inlineStr">
        <is>
          <t>frac_fixed</t>
        </is>
      </c>
      <c r="B41">
        <f>(B10-B40)/(C40-B40)</f>
        <v/>
      </c>
    </row>
    <row r="42">
      <c r="A42" t="inlineStr">
        <is>
          <t>Interpolated settlement-curve rate at t_fixed</t>
        </is>
      </c>
      <c r="B42">
        <f>INDEX(Curves!$B$4:$G$4,B39)+(INDEX(Curves!$B$4:$G$4,B39+1)-INDEX(Curves!$B$4:$G$4,B39))*B41</f>
        <v/>
      </c>
    </row>
    <row r="43">
      <c r="A43" t="inlineStr">
        <is>
          <t>wf_settlement(t_fixed)</t>
        </is>
      </c>
      <c r="B43">
        <f>1+B42*B10/360</f>
        <v/>
      </c>
    </row>
    <row r="44">
      <c r="A44" t="inlineStr">
        <is>
          <t>DF_settlement(t_fixed)</t>
        </is>
      </c>
      <c r="B44">
        <f>1/B43</f>
        <v/>
      </c>
    </row>
    <row r="45">
      <c r="A45" t="inlineStr">
        <is>
          <t>Amount_fixed = Nominal * historical fixing</t>
        </is>
      </c>
      <c r="B45">
        <f>B8*B11</f>
        <v/>
      </c>
    </row>
    <row r="46">
      <c r="A46" t="inlineStr">
        <is>
          <t>PV (already fixed) = Amount_fixed * DF_settlement(t_fixed)</t>
        </is>
      </c>
      <c r="B46">
        <f>B45*B44</f>
        <v/>
      </c>
    </row>
    <row r="47">
      <c r="A47" t="inlineStr">
        <is>
          <t>All curve/spot derivatives (already fixed) = 0 (no FX-forward sensitivity once fixed)</t>
        </is>
      </c>
    </row>
    <row r="49">
      <c r="A49" s="4" t="inlineStr">
        <is>
          <t>Cross-check vs. qcfinancial (from settlement_currency_review.py / task 16 verification)</t>
        </is>
      </c>
    </row>
    <row r="50">
      <c r="A50" t="inlineStr">
        <is>
          <t>PV (floating), qcfinancial reference</t>
        </is>
      </c>
      <c r="B50" t="n">
        <v>873350642.3070815</v>
      </c>
    </row>
    <row r="51">
      <c r="A51" t="inlineStr">
        <is>
          <t>Match (floating)?</t>
        </is>
      </c>
      <c r="B51">
        <f>ABS(B25-B50)&lt;0.01</f>
        <v/>
      </c>
    </row>
    <row r="52">
      <c r="A52" t="inlineStr">
        <is>
          <t>PV (already fixed), qcfinancial reference</t>
        </is>
      </c>
      <c r="B52" t="n">
        <v>859669612.4826241</v>
      </c>
    </row>
    <row r="53">
      <c r="A53" t="inlineStr">
        <is>
          <t>Match (already fixed)?</t>
        </is>
      </c>
      <c r="B53">
        <f>ABS(B46-B52)&lt;0.01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2" t="inlineStr">
        <is>
          <t>SimpleMultiCurrencyCashflow</t>
        </is>
      </c>
    </row>
    <row r="3">
      <c r="A3" s="1" t="inlineStr">
        <is>
          <t>Node t (days)</t>
        </is>
      </c>
      <c r="B3">
        <f>Curves!B2</f>
        <v/>
      </c>
      <c r="C3">
        <f>Curves!C2</f>
        <v/>
      </c>
      <c r="D3">
        <f>Curves!D2</f>
        <v/>
      </c>
      <c r="E3">
        <f>Curves!E2</f>
        <v/>
      </c>
      <c r="F3">
        <f>Curves!F2</f>
        <v/>
      </c>
      <c r="G3">
        <f>Curves!G2</f>
        <v/>
      </c>
    </row>
    <row r="4">
      <c r="A4" s="1" t="inlineStr">
        <is>
          <t>Notional curve rate</t>
        </is>
      </c>
      <c r="B4">
        <f>Curves!B3</f>
        <v/>
      </c>
      <c r="C4">
        <f>Curves!C3</f>
        <v/>
      </c>
      <c r="D4">
        <f>Curves!D3</f>
        <v/>
      </c>
      <c r="E4">
        <f>Curves!E3</f>
        <v/>
      </c>
      <c r="F4">
        <f>Curves!F3</f>
        <v/>
      </c>
      <c r="G4">
        <f>Curves!G3</f>
        <v/>
      </c>
    </row>
    <row r="5">
      <c r="A5" s="1" t="inlineStr">
        <is>
          <t>Settlement/discount curve rate</t>
        </is>
      </c>
      <c r="B5">
        <f>Curves!B4</f>
        <v/>
      </c>
      <c r="C5">
        <f>Curves!C4</f>
        <v/>
      </c>
      <c r="D5">
        <f>Curves!D4</f>
        <v/>
      </c>
      <c r="E5">
        <f>Curves!E4</f>
        <v/>
      </c>
      <c r="F5">
        <f>Curves!F4</f>
        <v/>
      </c>
      <c r="G5">
        <f>Curves!G4</f>
        <v/>
      </c>
    </row>
    <row r="7">
      <c r="A7" t="inlineStr">
        <is>
          <t>Spot</t>
        </is>
      </c>
      <c r="B7">
        <f>Curves!B6</f>
        <v/>
      </c>
    </row>
    <row r="8">
      <c r="A8" t="inlineStr">
        <is>
          <t>Nominal (notional-currency amount(); zero-rate construction, see notebook)</t>
        </is>
      </c>
      <c r="B8">
        <f>Curves!B7</f>
        <v/>
      </c>
    </row>
    <row r="9">
      <c r="A9" t="inlineStr">
        <is>
          <t>t_floating</t>
        </is>
      </c>
      <c r="B9">
        <f>Curves!B8</f>
        <v/>
      </c>
    </row>
    <row r="10">
      <c r="A10" t="inlineStr">
        <is>
          <t>t_fixed</t>
        </is>
      </c>
      <c r="B10">
        <f>Curves!B9</f>
        <v/>
      </c>
    </row>
    <row r="11">
      <c r="A11" t="inlineStr">
        <is>
          <t>Historical FX fixing</t>
        </is>
      </c>
      <c r="B11">
        <f>Curves!B10</f>
        <v/>
      </c>
    </row>
    <row r="13">
      <c r="A13" s="3" t="inlineStr">
        <is>
          <t>CIP forward projection (still floating)</t>
        </is>
      </c>
    </row>
    <row r="14">
      <c r="A14" t="inlineStr">
        <is>
          <t>idx (largest node &lt;= t_floating)</t>
        </is>
      </c>
      <c r="B14">
        <f>MATCH(B9,Curves!$B$2:$G$2,1)</f>
        <v/>
      </c>
    </row>
    <row r="15">
      <c r="A15" t="inlineStr">
        <is>
          <t>x1, x2 (bracketing node t's)</t>
        </is>
      </c>
      <c r="B15">
        <f>INDEX(Curves!$B$2:$G$2,B14)</f>
        <v/>
      </c>
      <c r="C15">
        <f>IF(B14=6,B15,INDEX(Curves!$B$2:$G$2,B14+1))</f>
        <v/>
      </c>
    </row>
    <row r="16">
      <c r="A16" t="inlineStr">
        <is>
          <t>frac = (t_floating - x1) / (x2 - x1)</t>
        </is>
      </c>
      <c r="B16">
        <f>IF(B14=6,0,(B9-B15)/(C15-B15))</f>
        <v/>
      </c>
    </row>
    <row r="17">
      <c r="A17" t="inlineStr">
        <is>
          <t>Interpolated notional-curve rate at t_floating</t>
        </is>
      </c>
      <c r="B17">
        <f>INDEX(Curves!$B$3:$G$3,B14)+(INDEX(Curves!$B$3:$G$3,B14+1-IF(B14=6,1,0))-INDEX(Curves!$B$3:$G$3,B14))*B16</f>
        <v/>
      </c>
    </row>
    <row r="18">
      <c r="A18" t="inlineStr">
        <is>
          <t>Interpolated settlement-curve rate at t_floating</t>
        </is>
      </c>
      <c r="B18">
        <f>INDEX(Curves!$B$4:$G$4,B14)+(INDEX(Curves!$B$4:$G$4,B14+1-IF(B14=6,1,0))-INDEX(Curves!$B$4:$G$4,B14))*B16</f>
        <v/>
      </c>
    </row>
    <row r="19">
      <c r="A19" t="inlineStr">
        <is>
          <t>wf_notional = 1 + rate * t_floating/360</t>
        </is>
      </c>
      <c r="B19">
        <f>1+B17*B9/360</f>
        <v/>
      </c>
    </row>
    <row r="20">
      <c r="A20" t="inlineStr">
        <is>
          <t>wf_settlement = 1 + rate * t_floating/360</t>
        </is>
      </c>
      <c r="B20">
        <f>1+B18*B9/360</f>
        <v/>
      </c>
    </row>
    <row r="21">
      <c r="A21" t="inlineStr">
        <is>
          <t>DF_notional(t_floating) = 1/wf_notional</t>
        </is>
      </c>
      <c r="B21">
        <f>1/B19</f>
        <v/>
      </c>
    </row>
    <row r="22">
      <c r="A22" t="inlineStr">
        <is>
          <t>DF_settlement(t_floating) = 1/wf_settlement</t>
        </is>
      </c>
      <c r="B22">
        <f>1/B20</f>
        <v/>
      </c>
    </row>
    <row r="23">
      <c r="A23" t="inlineStr">
        <is>
          <t>Forward = Spot * DF_notional / DF_settlement</t>
        </is>
      </c>
      <c r="B23">
        <f>B7*B21/B22</f>
        <v/>
      </c>
    </row>
    <row r="24">
      <c r="A24" t="inlineStr">
        <is>
          <t>Amount (settlement ccy, strong-side notional) = Nominal * Forward</t>
        </is>
      </c>
      <c r="B24">
        <f>B8*B23</f>
        <v/>
      </c>
    </row>
    <row r="25">
      <c r="A25" t="inlineStr">
        <is>
          <t>PV (floating) = Amount * DF_settlement  [discount curve = settlement curve here]</t>
        </is>
      </c>
      <c r="B25">
        <f>B24*B22</f>
        <v/>
      </c>
    </row>
    <row r="26">
      <c r="A26" t="inlineStr">
        <is>
          <t>dForward/dSpot = DF_notional/DF_settlement</t>
        </is>
      </c>
      <c r="B26">
        <f>B21/B22</f>
        <v/>
      </c>
    </row>
    <row r="27">
      <c r="A27" t="inlineStr">
        <is>
          <t>FX delta = Nominal * dForward/dSpot * DF_settlement</t>
        </is>
      </c>
      <c r="B27">
        <f>B8*B26*B22</f>
        <v/>
      </c>
    </row>
    <row r="29">
      <c r="A29" s="3" t="inlineStr">
        <is>
          <t>Per-node curve-vertex derivatives (floating case)</t>
        </is>
      </c>
    </row>
    <row r="30">
      <c r="A30" t="inlineStr">
        <is>
          <t>dRate/dNode_j (shared: same node grid for both curves)</t>
        </is>
      </c>
      <c r="B30">
        <f>IF(B3=B15,1-B16,IF(B3=C15,B16,0))</f>
        <v/>
      </c>
      <c r="C30">
        <f>IF(C3=B15,1-B16,IF(C3=C15,B16,0))</f>
        <v/>
      </c>
      <c r="D30">
        <f>IF(D3=B15,1-B16,IF(D3=C15,B16,0))</f>
        <v/>
      </c>
      <c r="E30">
        <f>IF(E3=B15,1-B16,IF(E3=C15,B16,0))</f>
        <v/>
      </c>
      <c r="F30">
        <f>IF(F3=B15,1-B16,IF(F3=C15,B16,0))</f>
        <v/>
      </c>
      <c r="G30">
        <f>IF(G3=B15,1-B16,IF(G3=C15,B16,0))</f>
        <v/>
      </c>
    </row>
    <row r="31">
      <c r="A31" t="inlineStr">
        <is>
          <t>dDF_notional/dNode_j = -(t_floating/360) * dRate/dNode_j / wf_notional^2</t>
        </is>
      </c>
      <c r="B31">
        <f>-(B9/360)*B30/(B19^2)</f>
        <v/>
      </c>
      <c r="C31">
        <f>-(B9/360)*C30/(B19^2)</f>
        <v/>
      </c>
      <c r="D31">
        <f>-(B9/360)*D30/(B19^2)</f>
        <v/>
      </c>
      <c r="E31">
        <f>-(B9/360)*E30/(B19^2)</f>
        <v/>
      </c>
      <c r="F31">
        <f>-(B9/360)*F30/(B19^2)</f>
        <v/>
      </c>
      <c r="G31">
        <f>-(B9/360)*G30/(B19^2)</f>
        <v/>
      </c>
    </row>
    <row r="32">
      <c r="A32" t="inlineStr">
        <is>
          <t>dDF_settlement/dNode_j = -(t_floating/360) * dRate/dNode_j / wf_settlement^2</t>
        </is>
      </c>
      <c r="B32">
        <f>-(B9/360)*B30/(B20^2)</f>
        <v/>
      </c>
      <c r="C32">
        <f>-(B9/360)*C30/(B20^2)</f>
        <v/>
      </c>
      <c r="D32">
        <f>-(B9/360)*D30/(B20^2)</f>
        <v/>
      </c>
      <c r="E32">
        <f>-(B9/360)*E30/(B20^2)</f>
        <v/>
      </c>
      <c r="F32">
        <f>-(B9/360)*F30/(B20^2)</f>
        <v/>
      </c>
      <c r="G32">
        <f>-(B9/360)*G30/(B20^2)</f>
        <v/>
      </c>
    </row>
    <row r="33">
      <c r="A33" t="inlineStr">
        <is>
          <t>dPV/dNotionalNode_j = Nominal * Spot * dDF_notional/dNode_j / DF_settlement * DF_settlement</t>
        </is>
      </c>
      <c r="B33">
        <f>B8*B7*B31/B22*B22</f>
        <v/>
      </c>
      <c r="C33">
        <f>B8*B7*C31/B22*B22</f>
        <v/>
      </c>
      <c r="D33">
        <f>B8*B7*D31/B22*B22</f>
        <v/>
      </c>
      <c r="E33">
        <f>B8*B7*E31/B22*B22</f>
        <v/>
      </c>
      <c r="F33">
        <f>B8*B7*F31/B22*B22</f>
        <v/>
      </c>
      <c r="G33">
        <f>B8*B7*G31/B22*B22</f>
        <v/>
      </c>
    </row>
    <row r="34">
      <c r="A34" t="inlineStr">
        <is>
          <t>dPV/dCipSettlementNode_j = Nominal * (-Spot*DF_notional/DF_settlement^2) * dDF_settlement/dNode_j * DF_settlement</t>
        </is>
      </c>
      <c r="B34">
        <f>B8*(-B7*B21/(B22^2))*B32*B22</f>
        <v/>
      </c>
      <c r="C34">
        <f>B8*(-B7*B21/(B22^2))*C32*B22</f>
        <v/>
      </c>
      <c r="D34">
        <f>B8*(-B7*B21/(B22^2))*D32*B22</f>
        <v/>
      </c>
      <c r="E34">
        <f>B8*(-B7*B21/(B22^2))*E32*B22</f>
        <v/>
      </c>
      <c r="F34">
        <f>B8*(-B7*B21/(B22^2))*F32*B22</f>
        <v/>
      </c>
      <c r="G34">
        <f>B8*(-B7*B21/(B22^2))*G32*B22</f>
        <v/>
      </c>
    </row>
    <row r="35">
      <c r="A35" t="inlineStr">
        <is>
          <t>dPV/dDiscountNode_j = Amount * dDF_settlement/dNode_j  [discount curve = settlement curve]</t>
        </is>
      </c>
      <c r="B35">
        <f>B24*B32</f>
        <v/>
      </c>
      <c r="C35">
        <f>B24*C32</f>
        <v/>
      </c>
      <c r="D35">
        <f>B24*D32</f>
        <v/>
      </c>
      <c r="E35">
        <f>B24*E32</f>
        <v/>
      </c>
      <c r="F35">
        <f>B24*F32</f>
        <v/>
      </c>
      <c r="G35">
        <f>B24*G32</f>
        <v/>
      </c>
    </row>
    <row r="36">
      <c r="A36" t="inlineStr">
        <is>
          <t>Cancellation check: dPV/dCip + dPV/dDiscount (≈0 expected, strong-side, same curve)</t>
        </is>
      </c>
      <c r="B36">
        <f>B34+B35</f>
        <v/>
      </c>
      <c r="C36">
        <f>C34+C35</f>
        <v/>
      </c>
      <c r="D36">
        <f>D34+D35</f>
        <v/>
      </c>
      <c r="E36">
        <f>E34+E35</f>
        <v/>
      </c>
      <c r="F36">
        <f>F34+F35</f>
        <v/>
      </c>
      <c r="G36">
        <f>G34+G35</f>
        <v/>
      </c>
    </row>
    <row r="38">
      <c r="A38" s="3" t="inlineStr">
        <is>
          <t>Already-fixed case (valuation date after FX fixing date)</t>
        </is>
      </c>
    </row>
    <row r="39">
      <c r="A39" t="inlineStr">
        <is>
          <t>idx_fixed (largest node &lt;= t_fixed)</t>
        </is>
      </c>
      <c r="B39">
        <f>MATCH(B10,Curves!$B$2:$G$2,1)</f>
        <v/>
      </c>
    </row>
    <row r="40">
      <c r="A40" t="inlineStr">
        <is>
          <t>x1, x2 (bracketing node t's)</t>
        </is>
      </c>
      <c r="B40">
        <f>INDEX(Curves!$B$2:$G$2,B39)</f>
        <v/>
      </c>
      <c r="C40">
        <f>INDEX(Curves!$B$2:$G$2,B39+1)</f>
        <v/>
      </c>
    </row>
    <row r="41">
      <c r="A41" t="inlineStr">
        <is>
          <t>frac_fixed</t>
        </is>
      </c>
      <c r="B41">
        <f>(B10-B40)/(C40-B40)</f>
        <v/>
      </c>
    </row>
    <row r="42">
      <c r="A42" t="inlineStr">
        <is>
          <t>Interpolated settlement-curve rate at t_fixed</t>
        </is>
      </c>
      <c r="B42">
        <f>INDEX(Curves!$B$4:$G$4,B39)+(INDEX(Curves!$B$4:$G$4,B39+1)-INDEX(Curves!$B$4:$G$4,B39))*B41</f>
        <v/>
      </c>
    </row>
    <row r="43">
      <c r="A43" t="inlineStr">
        <is>
          <t>wf_settlement(t_fixed)</t>
        </is>
      </c>
      <c r="B43">
        <f>1+B42*B10/360</f>
        <v/>
      </c>
    </row>
    <row r="44">
      <c r="A44" t="inlineStr">
        <is>
          <t>DF_settlement(t_fixed)</t>
        </is>
      </c>
      <c r="B44">
        <f>1/B43</f>
        <v/>
      </c>
    </row>
    <row r="45">
      <c r="A45" t="inlineStr">
        <is>
          <t>Amount_fixed = Nominal * historical fixing</t>
        </is>
      </c>
      <c r="B45">
        <f>B8*B11</f>
        <v/>
      </c>
    </row>
    <row r="46">
      <c r="A46" t="inlineStr">
        <is>
          <t>PV (already fixed) = Amount_fixed * DF_settlement(t_fixed)</t>
        </is>
      </c>
      <c r="B46">
        <f>B45*B44</f>
        <v/>
      </c>
    </row>
    <row r="47">
      <c r="A47" t="inlineStr">
        <is>
          <t>All curve/spot derivatives (already fixed) = 0 (no FX-forward sensitivity once fixed)</t>
        </is>
      </c>
    </row>
    <row r="49">
      <c r="A49" s="4" t="inlineStr">
        <is>
          <t>Cross-check vs. qcfinancial (from settlement_currency_review.py / task 16 verification)</t>
        </is>
      </c>
    </row>
    <row r="50">
      <c r="A50" t="inlineStr">
        <is>
          <t>PV (floating), qcfinancial reference</t>
        </is>
      </c>
      <c r="B50" t="n">
        <v>873350642.3070815</v>
      </c>
    </row>
    <row r="51">
      <c r="A51" t="inlineStr">
        <is>
          <t>Match (floating)?</t>
        </is>
      </c>
      <c r="B51">
        <f>ABS(B25-B50)&lt;0.01</f>
        <v/>
      </c>
    </row>
    <row r="52">
      <c r="A52" t="inlineStr">
        <is>
          <t>PV (already fixed), qcfinancial reference</t>
        </is>
      </c>
      <c r="B52" t="n">
        <v>859669612.4826241</v>
      </c>
    </row>
    <row r="53">
      <c r="A53" t="inlineStr">
        <is>
          <t>Match (already fixed)?</t>
        </is>
      </c>
      <c r="B53">
        <f>ABS(B46-B52)&lt;0.01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2026-08-29T15:35:56Z</dcterms:created>
  <dcterms:modified xsi:type="dcterms:W3CDTF">2026-08-29T15:35:56Z</dcterms:modified>
</cp:coreProperties>
</file>